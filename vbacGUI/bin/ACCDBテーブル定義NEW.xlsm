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Desktop_Access\vbacGUI\bin\"/>
    </mc:Choice>
  </mc:AlternateContent>
  <bookViews>
    <workbookView xWindow="0" yWindow="15" windowWidth="9555" windowHeight="5295" firstSheet="3" activeTab="5"/>
  </bookViews>
  <sheets>
    <sheet name="設定" sheetId="2" state="hidden" r:id="rId1"/>
    <sheet name="原紙" sheetId="1" r:id="rId2"/>
    <sheet name="T_Version管理" sheetId="14" r:id="rId3"/>
    <sheet name="WK_Calendar_業務" sheetId="15" r:id="rId4"/>
    <sheet name="WK_Calendar_工場" sheetId="16" r:id="rId5"/>
    <sheet name="WK_SxL品番読替表" sheetId="17" r:id="rId6"/>
    <sheet name="WK_チェックリスト" sheetId="18" r:id="rId7"/>
    <sheet name="WK_札データ" sheetId="19" r:id="rId8"/>
    <sheet name="WK_札データ_集計" sheetId="20" r:id="rId9"/>
    <sheet name="WK_製造指示" sheetId="21" r:id="rId10"/>
    <sheet name="WK_製造指示_Clone" sheetId="22" r:id="rId11"/>
    <sheet name="WK_製造日別集計データ" sheetId="23" r:id="rId12"/>
    <sheet name="WK_対象日付" sheetId="24" r:id="rId13"/>
  </sheets>
  <functionGroups builtInGroupCount="18"/>
  <definedNames>
    <definedName name="_xlnm.Print_Area" localSheetId="2">T_Version管理!$A$1:$AA$50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5">WK_SxL品番読替表!$A$1:$AA$50</definedName>
    <definedName name="_xlnm.Print_Area" localSheetId="6">WK_チェックリスト!$A$1:$AA$50</definedName>
    <definedName name="_xlnm.Print_Area" localSheetId="7">WK_札データ!$A$1:$AA$50</definedName>
    <definedName name="_xlnm.Print_Area" localSheetId="8">WK_札データ_集計!$A$1:$AA$50</definedName>
    <definedName name="_xlnm.Print_Area" localSheetId="9">WK_製造指示!$A$1:$AA$50</definedName>
    <definedName name="_xlnm.Print_Area" localSheetId="10">WK_製造指示_Clone!$A$1:$AA$50</definedName>
    <definedName name="_xlnm.Print_Area" localSheetId="11">WK_製造日別集計データ!$A$1:$AA$50</definedName>
    <definedName name="_xlnm.Print_Area" localSheetId="12">WK_対象日付!$A$1:$AA$50</definedName>
    <definedName name="_xlnm.Print_Area" localSheetId="1">原紙!$A$1:$AA$50</definedName>
    <definedName name="_xlnm.Print_Titles" localSheetId="2">T_Version管理!$1:$3</definedName>
    <definedName name="_xlnm.Print_Titles" localSheetId="3">WK_Calendar_業務!$1:$3</definedName>
    <definedName name="_xlnm.Print_Titles" localSheetId="4">WK_Calendar_工場!$1:$3</definedName>
    <definedName name="_xlnm.Print_Titles" localSheetId="5">WK_SxL品番読替表!$1:$3</definedName>
    <definedName name="_xlnm.Print_Titles" localSheetId="6">WK_チェックリスト!$1:$3</definedName>
    <definedName name="_xlnm.Print_Titles" localSheetId="7">WK_札データ!$1:$3</definedName>
    <definedName name="_xlnm.Print_Titles" localSheetId="8">WK_札データ_集計!$1:$3</definedName>
    <definedName name="_xlnm.Print_Titles" localSheetId="9">WK_製造指示!$1:$3</definedName>
    <definedName name="_xlnm.Print_Titles" localSheetId="10">WK_製造指示_Clone!$1:$3</definedName>
    <definedName name="_xlnm.Print_Titles" localSheetId="11">WK_製造日別集計データ!$1:$3</definedName>
    <definedName name="_xlnm.Print_Titles" localSheetId="12">WK_対象日付!$1:$3</definedName>
    <definedName name="_xlnm.Print_Titles" localSheetId="1">原紙!$1:$3</definedName>
  </definedNames>
  <calcPr calcId="152511" fullCalcOnLoad="1"/>
</workbook>
</file>

<file path=xl/calcChain.xml><?xml version="1.0" encoding="utf-8"?>
<calcChain xmlns="http://schemas.openxmlformats.org/spreadsheetml/2006/main">
  <c r="A5" i="24" l="1"/>
  <c r="A4" i="24"/>
  <c r="AC2" i="24"/>
  <c r="AC1" i="24"/>
  <c r="AB1" i="24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C2" i="23"/>
  <c r="AC1" i="23"/>
  <c r="AB1" i="23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C2" i="22"/>
  <c r="AC1" i="22"/>
  <c r="AB1" i="22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C2" i="21"/>
  <c r="AC1" i="21"/>
  <c r="AB1" i="21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C2" i="20"/>
  <c r="AC1" i="20"/>
  <c r="AB1" i="20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C2" i="19"/>
  <c r="AC1" i="19"/>
  <c r="AB1" i="19"/>
  <c r="A15" i="18"/>
  <c r="A14" i="18"/>
  <c r="A13" i="18"/>
  <c r="A12" i="18"/>
  <c r="A11" i="18"/>
  <c r="A10" i="18"/>
  <c r="A9" i="18"/>
  <c r="A8" i="18"/>
  <c r="A7" i="18"/>
  <c r="A6" i="18"/>
  <c r="A5" i="18"/>
  <c r="A4" i="18"/>
  <c r="AC2" i="18"/>
  <c r="AC1" i="18"/>
  <c r="AB1" i="18"/>
  <c r="A8" i="17"/>
  <c r="A7" i="17"/>
  <c r="A6" i="17"/>
  <c r="A5" i="17"/>
  <c r="A4" i="17"/>
  <c r="AC2" i="17"/>
  <c r="AC1" i="17"/>
  <c r="AB1" i="17"/>
  <c r="A4" i="16"/>
  <c r="AC2" i="16"/>
  <c r="AC1" i="16"/>
  <c r="AB1" i="16"/>
  <c r="A4" i="15"/>
  <c r="AC2" i="15"/>
  <c r="AC1" i="15"/>
  <c r="AB1" i="15"/>
  <c r="A7" i="14"/>
  <c r="A6" i="14"/>
  <c r="A5" i="14"/>
  <c r="A4" i="14"/>
  <c r="AC2" i="14"/>
  <c r="AC1" i="14"/>
  <c r="AB1" i="14"/>
  <c r="AC2" i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<sst xmlns="http://schemas.openxmlformats.org/spreadsheetml/2006/main" count="903" uniqueCount="149">
  <si>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</si>
  <si>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</si>
  <si>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</si>
  <si>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</si>
  <si>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</si>
  <si>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</si>
  <si>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</si>
  <si>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</si>
  <si>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</si>
  <si>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</si>
  <si>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</si>
  <si>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</si>
  <si>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</si>
  <si>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</si>
  <si>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</si>
  <si>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</si>
  <si>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</si>
  <si>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</si>
  <si>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</si>
  <si>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</si>
  <si>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</si>
  <si>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</si>
  <si>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</si>
  <si>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</si>
  <si>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</si>
  <si>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</si>
  <si>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</si>
  <si>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</si>
  <si>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</si>
  <si>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</si>
  <si>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</si>
  <si>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</si>
  <si>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</si>
  <si>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</si>
  <si>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</si>
  <si>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</si>
  <si>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</si>
  <si>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</si>
  <si>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</si>
  <si>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</si>
  <si>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</si>
  <si>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</si>
  <si>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</si>
  <si>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</si>
  <si>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</si>
  <si>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</si>
  <si>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</si>
  <si>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</si>
  <si>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</si>
  <si>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</si>
  <si>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</si>
  <si>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</si>
  <si>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</si>
  <si>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</si>
  <si>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</si>
  <si>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</si>
  <si>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</si>
  <si>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</si>
  <si>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</si>
  <si>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</si>
  <si>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</si>
  <si>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</si>
  <si>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</si>
  <si>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</si>
  <si>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</si>
  <si>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</si>
  <si>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</si>
  <si>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</si>
  <si>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</si>
  <si>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</si>
  <si>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</si>
  <si>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</si>
  <si>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</si>
  <si>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</si>
  <si>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</si>
  <si>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</si>
  <si>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</si>
  <si>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</si>
  <si>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</si>
  <si>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</si>
  <si>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</si>
  <si>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</si>
  <si>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</si>
  <si>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</si>
  <si>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</si>
  <si>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</si>
  <si>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</si>
  <si>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</si>
  <si>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</si>
  <si>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</si>
  <si>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</si>
  <si>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</si>
  <si>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</si>
  <si>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</si>
  <si>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</si>
  <si>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</si>
  <si>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</si>
  <si>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</si>
  <si>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</si>
  <si>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</si>
  <si>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</si>
  <si>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</si>
  <si>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</si>
  <si>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</si>
  <si>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</si>
  <si>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</si>
  <si>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</si>
  <si>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</si>
  <si>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</si>
  <si>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</si>
  <si>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</si>
  <si>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</si>
  <si>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</si>
  <si>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</si>
  <si>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</si>
  <si>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</si>
  <si>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</si>
  <si>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</si>
  <si>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</si>
  <si>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</si>
  <si>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</si>
  <si>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</si>
  <si>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</si>
  <si>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</si>
  <si>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</si>
  <si>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</si>
  <si>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</si>
  <si>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</si>
  <si>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</si>
  <si>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</si>
  <si>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</si>
  <si>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</si>
  <si>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</si>
  <si>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</si>
  <si>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</si>
  <si>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</si>
  <si>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</si>
  <si>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</si>
  <si>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</si>
  <si>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</si>
  <si>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</si>
  <si>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</si>
  <si>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</si>
  <si>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</si>
  <si>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</si>
  <si>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</si>
  <si>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</si>
  <si>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製造管理システム (13).accdb</t>
    <phoneticPr fontId="3"/>
  </si>
  <si>
    <t>C:\Users\asayama\Documents\Desktop_Access\vbacGUI\bin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</si>
</sst>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8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147</v>
      </c>
      <c r="Q2" s="19" t="s">
        <v>148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/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54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65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67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V8" sqref="V8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68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Z8" sqref="Z8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75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>ROW()-4</f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90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104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106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>ROW()-4</f>
        <v>21</v>
      </c>
      <c r="E25" s="11" t="s">
        <v>107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>ROW()-4</f>
        <v>22</v>
      </c>
      <c r="E26" s="11" t="s">
        <v>108</v>
      </c>
      <c r="V26" s="18" t="s">
        <v>80</v>
      </c>
      <c r="X26" s="14" t="s">
        <v>60</v>
      </c>
      <c r="Y26" s="14" t="s">
        <v>64</v>
      </c>
    </row>
    <row r="27" spans="1:27" x14ac:dyDescent="0.15">
      <c r="A27" s="11">
        <f>ROW()-4</f>
        <v>23</v>
      </c>
      <c r="E27" s="11" t="s">
        <v>109</v>
      </c>
      <c r="V27" s="18" t="s">
        <v>80</v>
      </c>
      <c r="X27" s="14" t="s">
        <v>60</v>
      </c>
      <c r="Y27" s="14" t="s">
        <v>64</v>
      </c>
    </row>
    <row r="28" spans="1:27" x14ac:dyDescent="0.15">
      <c r="A28" s="11">
        <f>ROW()-4</f>
        <v>24</v>
      </c>
      <c r="E28" s="11" t="s">
        <v>110</v>
      </c>
      <c r="V28" s="18" t="s">
        <v>80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111</v>
      </c>
      <c r="V29" s="18" t="s">
        <v>80</v>
      </c>
      <c r="X29" s="14" t="s">
        <v>60</v>
      </c>
      <c r="Y29" s="14" t="s">
        <v>64</v>
      </c>
    </row>
    <row r="30" spans="1:27" x14ac:dyDescent="0.15">
      <c r="A30" s="11">
        <f>ROW()-4</f>
        <v>26</v>
      </c>
      <c r="E30" s="11" t="s">
        <v>112</v>
      </c>
      <c r="V30" s="18" t="s">
        <v>56</v>
      </c>
      <c r="W30" s="14">
        <v>255</v>
      </c>
      <c r="X30" s="14" t="s">
        <v>60</v>
      </c>
      <c r="Y30" s="14" t="s">
        <v>58</v>
      </c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113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86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72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115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104</v>
      </c>
      <c r="V22" s="18" t="s">
        <v>72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105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116</v>
      </c>
      <c r="V24" s="18" t="s">
        <v>72</v>
      </c>
      <c r="X24" s="14" t="s">
        <v>60</v>
      </c>
      <c r="Y24" s="14" t="s">
        <v>64</v>
      </c>
    </row>
    <row r="25" spans="1:27" x14ac:dyDescent="0.15">
      <c r="A25" s="11">
        <f>ROW()-4</f>
        <v>21</v>
      </c>
      <c r="E25" s="11" t="s">
        <v>106</v>
      </c>
      <c r="V25" s="18" t="s">
        <v>72</v>
      </c>
      <c r="X25" s="14" t="s">
        <v>60</v>
      </c>
      <c r="Y25" s="14" t="s">
        <v>64</v>
      </c>
    </row>
    <row r="26" spans="1:27" x14ac:dyDescent="0.15">
      <c r="A26" s="11">
        <f>ROW()-4</f>
        <v>22</v>
      </c>
      <c r="E26" s="11" t="s">
        <v>107</v>
      </c>
      <c r="V26" s="18" t="s">
        <v>72</v>
      </c>
      <c r="X26" s="14" t="s">
        <v>60</v>
      </c>
      <c r="Y26" s="14" t="s">
        <v>64</v>
      </c>
    </row>
    <row r="27" spans="1:27" x14ac:dyDescent="0.15">
      <c r="A27" s="11">
        <f>ROW()-4</f>
        <v>23</v>
      </c>
      <c r="E27" s="11" t="s">
        <v>108</v>
      </c>
      <c r="V27" s="18" t="s">
        <v>72</v>
      </c>
      <c r="X27" s="14" t="s">
        <v>60</v>
      </c>
      <c r="Y27" s="14" t="s">
        <v>64</v>
      </c>
    </row>
    <row r="28" spans="1:27" x14ac:dyDescent="0.15">
      <c r="A28" s="11">
        <f>ROW()-4</f>
        <v>24</v>
      </c>
      <c r="E28" s="11" t="s">
        <v>109</v>
      </c>
      <c r="V28" s="18" t="s">
        <v>72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117</v>
      </c>
      <c r="V29" s="18" t="s">
        <v>72</v>
      </c>
      <c r="X29" s="14" t="s">
        <v>60</v>
      </c>
      <c r="Y29" s="14" t="s">
        <v>64</v>
      </c>
    </row>
    <row r="30" spans="1:27" x14ac:dyDescent="0.15">
      <c r="A30" s="11">
        <f>ROW()-4</f>
        <v>26</v>
      </c>
      <c r="E30" s="11" t="s">
        <v>118</v>
      </c>
      <c r="V30" s="18" t="s">
        <v>80</v>
      </c>
      <c r="X30" s="14" t="s">
        <v>60</v>
      </c>
      <c r="Y30" s="14" t="s">
        <v>64</v>
      </c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119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>ROW()-4</f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>ROW()-4</f>
        <v>22</v>
      </c>
      <c r="E26" s="11" t="s">
        <v>134</v>
      </c>
      <c r="G26" s="14">
        <v>1</v>
      </c>
      <c r="V26" s="1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>ROW()-4</f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>ROW()-4</f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138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114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>ROW()-4</f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82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133</v>
      </c>
      <c r="V24" s="18" t="s">
        <v>63</v>
      </c>
      <c r="X24" s="14" t="s">
        <v>64</v>
      </c>
      <c r="Y24" s="14" t="s">
        <v>64</v>
      </c>
    </row>
    <row r="25" spans="1:27" x14ac:dyDescent="0.15">
      <c r="A25" s="11">
        <f>ROW()-4</f>
        <v>21</v>
      </c>
      <c r="E25" s="11" t="s">
        <v>62</v>
      </c>
      <c r="V25" s="18" t="s">
        <v>63</v>
      </c>
      <c r="X25" s="14" t="s">
        <v>64</v>
      </c>
      <c r="Y25" s="14" t="s">
        <v>64</v>
      </c>
    </row>
    <row r="26" spans="1:27" x14ac:dyDescent="0.15">
      <c r="A26" s="11">
        <f>ROW()-4</f>
        <v>22</v>
      </c>
      <c r="E26" s="11" t="s">
        <v>134</v>
      </c>
      <c r="V26" s="18" t="s">
        <v>56</v>
      </c>
      <c r="W26" s="14">
        <v>15</v>
      </c>
      <c r="X26" s="14" t="s">
        <v>60</v>
      </c>
      <c r="Y26" s="14" t="s">
        <v>114</v>
      </c>
    </row>
    <row r="27" spans="1:27" x14ac:dyDescent="0.15">
      <c r="A27" s="11">
        <f>ROW()-4</f>
        <v>23</v>
      </c>
      <c r="E27" s="11" t="s">
        <v>135</v>
      </c>
      <c r="V27" s="18" t="s">
        <v>56</v>
      </c>
      <c r="W27" s="14">
        <v>30</v>
      </c>
      <c r="X27" s="14" t="s">
        <v>60</v>
      </c>
      <c r="Y27" s="14" t="s">
        <v>114</v>
      </c>
    </row>
    <row r="28" spans="1:27" x14ac:dyDescent="0.15">
      <c r="A28" s="11">
        <f>ROW()-4</f>
        <v>24</v>
      </c>
      <c r="E28" s="11" t="s">
        <v>136</v>
      </c>
      <c r="V28" s="18" t="s">
        <v>89</v>
      </c>
      <c r="X28" s="14" t="s">
        <v>60</v>
      </c>
      <c r="Y28" s="14" t="s">
        <v>64</v>
      </c>
    </row>
    <row r="29" spans="1:27" x14ac:dyDescent="0.15">
      <c r="A29" s="11">
        <f>ROW()-4</f>
        <v>25</v>
      </c>
      <c r="E29" s="11" t="s">
        <v>137</v>
      </c>
      <c r="V29" s="18" t="s">
        <v>89</v>
      </c>
      <c r="X29" s="14" t="s">
        <v>60</v>
      </c>
      <c r="Y29" s="14" t="s">
        <v>64</v>
      </c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139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>ROW()-4</f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>ROW()-4</f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>ROW()-4</f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>ROW()-4</f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>ROW()-4</f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>ROW()-4</f>
        <v>10</v>
      </c>
      <c r="B14" s="13"/>
      <c r="C14" s="18"/>
      <c r="D14" s="1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>ROW()-4</f>
        <v>11</v>
      </c>
      <c r="B15" s="13"/>
      <c r="C15" s="18"/>
      <c r="D15" s="1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>ROW()-4</f>
        <v>12</v>
      </c>
      <c r="B16" s="13"/>
      <c r="C16" s="18"/>
      <c r="D16" s="1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>ROW()-4</f>
        <v>13</v>
      </c>
      <c r="B17" s="18"/>
      <c r="C17" s="18"/>
      <c r="D17" s="1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>ROW()-4</f>
        <v>14</v>
      </c>
      <c r="B18" s="18"/>
      <c r="C18" s="18"/>
      <c r="D18" s="1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>ROW()-4</f>
        <v>15</v>
      </c>
      <c r="B19" s="18"/>
      <c r="C19" s="18"/>
      <c r="D19" s="1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>ROW()-4</f>
        <v>16</v>
      </c>
      <c r="B20" s="18"/>
      <c r="C20" s="18"/>
      <c r="D20" s="1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>ROW()-4</f>
        <v>17</v>
      </c>
      <c r="B21" s="18"/>
      <c r="C21" s="18"/>
      <c r="D21" s="1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>ROW()-4</f>
        <v>18</v>
      </c>
      <c r="E22" s="11" t="s">
        <v>105</v>
      </c>
      <c r="V22" s="18" t="s">
        <v>80</v>
      </c>
      <c r="X22" s="14" t="s">
        <v>60</v>
      </c>
      <c r="Y22" s="14" t="s">
        <v>64</v>
      </c>
    </row>
    <row r="23" spans="1:27" x14ac:dyDescent="0.15">
      <c r="A23" s="11">
        <f>ROW()-4</f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>ROW()-4</f>
        <v>20</v>
      </c>
      <c r="E24" s="11" t="s">
        <v>107</v>
      </c>
      <c r="V24" s="18" t="s">
        <v>80</v>
      </c>
      <c r="X24" s="14" t="s">
        <v>60</v>
      </c>
      <c r="Y24" s="14" t="s">
        <v>64</v>
      </c>
    </row>
    <row r="25" spans="1:27" x14ac:dyDescent="0.15">
      <c r="A25" s="11">
        <f>ROW()-4</f>
        <v>21</v>
      </c>
      <c r="E25" s="11" t="s">
        <v>108</v>
      </c>
      <c r="V25" s="18" t="s">
        <v>80</v>
      </c>
      <c r="X25" s="14" t="s">
        <v>60</v>
      </c>
      <c r="Y25" s="14" t="s">
        <v>64</v>
      </c>
    </row>
    <row r="26" spans="1:27" x14ac:dyDescent="0.15">
      <c r="A26" s="11">
        <f>ROW()-4</f>
        <v>22</v>
      </c>
      <c r="E26" s="11" t="s">
        <v>109</v>
      </c>
      <c r="V26" s="18" t="s">
        <v>80</v>
      </c>
      <c r="X26" s="14" t="s">
        <v>60</v>
      </c>
      <c r="Y26" s="14" t="s">
        <v>64</v>
      </c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O6" sqref="O6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  <c r="V1" s="40" t="s">
        <v>4</v>
      </c>
      <c r="W1" s="29"/>
      <c r="X1" s="29"/>
      <c r="Y1" s="29"/>
      <c r="Z1" s="29"/>
      <c r="AA1" s="29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25" t="s">
        <v>49</v>
      </c>
      <c r="B2" s="26"/>
      <c r="C2" s="37" t="s">
        <v>144</v>
      </c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1"/>
      <c r="W2" s="30"/>
      <c r="X2" s="30"/>
      <c r="Y2" s="30"/>
      <c r="Z2" s="30"/>
      <c r="AA2" s="30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27" t="s">
        <v>2</v>
      </c>
      <c r="AA3" s="28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8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8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8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8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8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8"/>
      <c r="W21" s="14"/>
      <c r="X21" s="14"/>
      <c r="Y21" s="14"/>
      <c r="Z21" s="15"/>
      <c r="AA21" s="15"/>
    </row>
    <row r="23" spans="2:27" x14ac:dyDescent="0.15">
      <c r="V23" s="17"/>
    </row>
  </sheetData>
  <sheetCalcPr fullCalcOnLoad="1"/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24</vt:i4>
      </vt:variant>
    </vt:vector>
  </HeadingPairs>
  <TitlesOfParts>
    <vt:vector size="37" baseType="lpstr">
      <vt:lpstr>設定</vt:lpstr>
      <vt:lpstr>原紙</vt:lpstr>
      <vt:lpstr>T_Version管理</vt:lpstr>
      <vt:lpstr>WK_Calendar_業務</vt:lpstr>
      <vt:lpstr>WK_Calendar_工場</vt:lpstr>
      <vt:lpstr>WK_SxL品番読替表</vt:lpstr>
      <vt:lpstr>WK_チェックリスト</vt:lpstr>
      <vt:lpstr>WK_札データ</vt:lpstr>
      <vt:lpstr>WK_札データ_集計</vt:lpstr>
      <vt:lpstr>WK_製造指示</vt:lpstr>
      <vt:lpstr>WK_製造指示_Clone</vt:lpstr>
      <vt:lpstr>WK_製造日別集計データ</vt:lpstr>
      <vt:lpstr>WK_対象日付</vt:lpstr>
      <vt:lpstr>T_Version管理!Print_Area</vt:lpstr>
      <vt:lpstr>WK_Calendar_業務!Print_Area</vt:lpstr>
      <vt:lpstr>WK_Calendar_工場!Print_Area</vt:lpstr>
      <vt:lpstr>WK_SxL品番読替表!Print_Area</vt:lpstr>
      <vt:lpstr>WK_チェックリスト!Print_Area</vt:lpstr>
      <vt:lpstr>WK_札データ!Print_Area</vt:lpstr>
      <vt:lpstr>WK_札データ_集計!Print_Area</vt:lpstr>
      <vt:lpstr>WK_製造指示!Print_Area</vt:lpstr>
      <vt:lpstr>WK_製造指示_Clone!Print_Area</vt:lpstr>
      <vt:lpstr>WK_製造日別集計データ!Print_Area</vt:lpstr>
      <vt:lpstr>WK_対象日付!Print_Area</vt:lpstr>
      <vt:lpstr>原紙!Print_Area</vt:lpstr>
      <vt:lpstr>T_Version管理!Print_Titles</vt:lpstr>
      <vt:lpstr>WK_Calendar_業務!Print_Titles</vt:lpstr>
      <vt:lpstr>WK_Calendar_工場!Print_Titles</vt:lpstr>
      <vt:lpstr>WK_SxL品番読替表!Print_Titles</vt:lpstr>
      <vt:lpstr>WK_チェックリスト!Print_Titles</vt:lpstr>
      <vt:lpstr>WK_札データ!Print_Titles</vt:lpstr>
      <vt:lpstr>WK_札データ_集計!Print_Titles</vt:lpstr>
      <vt:lpstr>WK_製造指示!Print_Titles</vt:lpstr>
      <vt:lpstr>WK_製造指示_Clone!Print_Titles</vt:lpstr>
      <vt:lpstr>WK_製造日別集計データ!Print_Titles</vt:lpstr>
      <vt:lpstr>WK_対象日付!Print_Titles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2015-12-02T01:07:12Z</dcterms:modified>
  <cp:category>MDB,データベース,テーブル,DAO</cp:category>
</cp:coreProperties>
</file>