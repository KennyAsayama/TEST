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omments35.xml" ContentType="application/vnd.openxmlformats-officedocument.spreadsheetml.comments+xml"/>
  <Override PartName="/xl/comments3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sayama\Documents\testrepo\vbacGUI\bin\"/>
    </mc:Choice>
  </mc:AlternateContent>
  <bookViews>
    <workbookView xWindow="0" yWindow="15" windowWidth="9555" windowHeight="5295" tabRatio="947" firstSheet="1" activeTab="1"/>
  </bookViews>
  <sheets>
    <sheet name="設定" sheetId="2" state="hidden" r:id="rId1"/>
    <sheet name="原紙" sheetId="1" r:id="rId2"/>
    <sheet name="T_Version管理" sheetId="66" r:id="rId3"/>
    <sheet name="WK_Calendar_業務" sheetId="68" r:id="rId4"/>
    <sheet name="WK_Calendar_工場" sheetId="69" r:id="rId5"/>
    <sheet name="WK_Status" sheetId="71" r:id="rId6"/>
    <sheet name="WK_SxL品番読替表" sheetId="72" r:id="rId7"/>
    <sheet name="WK_チェックリスト" sheetId="73" r:id="rId8"/>
    <sheet name="WK_工程表データ" sheetId="79" r:id="rId9"/>
    <sheet name="WK_札データ" sheetId="80" r:id="rId10"/>
    <sheet name="WK_札データ_集計" sheetId="81" r:id="rId11"/>
    <sheet name="WK_札データ_備考" sheetId="82" r:id="rId12"/>
    <sheet name="WK_札台帳データ" sheetId="83" r:id="rId13"/>
    <sheet name="WK_上枠下地グループ集計" sheetId="85" r:id="rId14"/>
    <sheet name="WK_製造指示" sheetId="89" r:id="rId15"/>
    <sheet name="WK_製造指示_Clone" sheetId="90" r:id="rId16"/>
    <sheet name="WK_製造日別集計データ" sheetId="91" r:id="rId17"/>
    <sheet name="WK_対象日付" sheetId="92" r:id="rId18"/>
    <sheet name="WK_台帳集計データ" sheetId="93" r:id="rId19"/>
    <sheet name="WK_追加製造" sheetId="94" r:id="rId20"/>
    <sheet name="WK_枠出荷表" sheetId="96" r:id="rId21"/>
    <sheet name="WK_框材使用数" sheetId="97" r:id="rId22"/>
    <sheet name="WK_契約番号" sheetId="77" r:id="rId23"/>
    <sheet name="WK_フルハイトライン製造数邸別" sheetId="74" r:id="rId24"/>
    <sheet name="WK_FullHeightライン指示" sheetId="70" r:id="rId25"/>
    <sheet name="T_出力レポート" sheetId="67" r:id="rId26"/>
    <sheet name="WK_ラベル" sheetId="75" r:id="rId27"/>
    <sheet name="WK_縁張りコード表" sheetId="76" r:id="rId28"/>
    <sheet name="WK_建具製造リスト_FullHeight" sheetId="78" r:id="rId29"/>
    <sheet name="WK_取付金物" sheetId="84" r:id="rId30"/>
    <sheet name="WK_新ライン指示データ" sheetId="86" r:id="rId31"/>
    <sheet name="WK_製造依頼書建具" sheetId="87" r:id="rId32"/>
    <sheet name="WK_製造依頼書建具_FullHeight" sheetId="88" r:id="rId33"/>
    <sheet name="WK_部材展開" sheetId="95" r:id="rId34"/>
    <sheet name="WK_アラジン用データ_製造日" sheetId="98" r:id="rId35"/>
    <sheet name="WK_AO資材納期情報" sheetId="99" r:id="rId36"/>
    <sheet name="WK_資材納期" sheetId="100" r:id="rId37"/>
  </sheets>
  <functionGroups builtInGroupCount="18"/>
  <externalReferences>
    <externalReference r:id="rId38"/>
  </externalReferences>
  <definedNames>
    <definedName name="_xlnm.Print_Area" localSheetId="2">T_Version管理!$A$1:$AA$50</definedName>
    <definedName name="_xlnm.Print_Area" localSheetId="25">T_出力レポート!$A$1:$AA$50</definedName>
    <definedName name="_xlnm.Print_Area" localSheetId="35">WK_AO資材納期情報!$A$1:$AA$50</definedName>
    <definedName name="_xlnm.Print_Area" localSheetId="3">WK_Calendar_業務!$A$1:$AA$50</definedName>
    <definedName name="_xlnm.Print_Area" localSheetId="4">WK_Calendar_工場!$A$1:$AA$50</definedName>
    <definedName name="_xlnm.Print_Area" localSheetId="24">WK_FullHeightライン指示!$A$1:$AA$50</definedName>
    <definedName name="_xlnm.Print_Area" localSheetId="5">WK_Status!$A$1:$AA$50</definedName>
    <definedName name="_xlnm.Print_Area" localSheetId="6">WK_SxL品番読替表!$A$1:$AA$50</definedName>
    <definedName name="_xlnm.Print_Area" localSheetId="34">WK_アラジン用データ_製造日!$A$1:$AA$50</definedName>
    <definedName name="_xlnm.Print_Area" localSheetId="7">WK_チェックリスト!$A$1:$AA$50</definedName>
    <definedName name="_xlnm.Print_Area" localSheetId="23">WK_フルハイトライン製造数邸別!$A$1:$AA$50</definedName>
    <definedName name="_xlnm.Print_Area" localSheetId="26">WK_ラベル!$A$1:$AA$50</definedName>
    <definedName name="_xlnm.Print_Area" localSheetId="27">WK_縁張りコード表!$A$1:$AA$50</definedName>
    <definedName name="_xlnm.Print_Area" localSheetId="22">WK_契約番号!$A$1:$AA$50</definedName>
    <definedName name="_xlnm.Print_Area" localSheetId="28">WK_建具製造リスト_FullHeight!$A$1:$AA$50</definedName>
    <definedName name="_xlnm.Print_Area" localSheetId="8">WK_工程表データ!$A$1:$AA$50</definedName>
    <definedName name="_xlnm.Print_Area" localSheetId="9">WK_札データ!$A$1:$AA$50</definedName>
    <definedName name="_xlnm.Print_Area" localSheetId="10">WK_札データ_集計!$A$1:$AA$50</definedName>
    <definedName name="_xlnm.Print_Area" localSheetId="11">WK_札データ_備考!$A$1:$AA$50</definedName>
    <definedName name="_xlnm.Print_Area" localSheetId="12">WK_札台帳データ!$A$1:$AA$50</definedName>
    <definedName name="_xlnm.Print_Area" localSheetId="36">WK_資材納期!$A$1:$AA$50</definedName>
    <definedName name="_xlnm.Print_Area" localSheetId="29">WK_取付金物!$A$1:$AA$50</definedName>
    <definedName name="_xlnm.Print_Area" localSheetId="13">WK_上枠下地グループ集計!$A$1:$AA$50</definedName>
    <definedName name="_xlnm.Print_Area" localSheetId="30">WK_新ライン指示データ!$A$1:$AA$50</definedName>
    <definedName name="_xlnm.Print_Area" localSheetId="31">WK_製造依頼書建具!$A$1:$AA$50</definedName>
    <definedName name="_xlnm.Print_Area" localSheetId="32">WK_製造依頼書建具_FullHeight!$A$1:$AA$50</definedName>
    <definedName name="_xlnm.Print_Area" localSheetId="14">WK_製造指示!$A$1:$AA$50</definedName>
    <definedName name="_xlnm.Print_Area" localSheetId="15">WK_製造指示_Clone!$A$1:$AA$50</definedName>
    <definedName name="_xlnm.Print_Area" localSheetId="16">WK_製造日別集計データ!$A$1:$AA$50</definedName>
    <definedName name="_xlnm.Print_Area" localSheetId="17">WK_対象日付!$A$1:$AA$50</definedName>
    <definedName name="_xlnm.Print_Area" localSheetId="18">WK_台帳集計データ!$A$1:$AA$50</definedName>
    <definedName name="_xlnm.Print_Area" localSheetId="19">WK_追加製造!$A$1:$AA$50</definedName>
    <definedName name="_xlnm.Print_Area" localSheetId="33">WK_部材展開!$A$1:$AA$50</definedName>
    <definedName name="_xlnm.Print_Area" localSheetId="20">WK_枠出荷表!$A$1:$AA$52</definedName>
    <definedName name="_xlnm.Print_Area" localSheetId="21">WK_框材使用数!$A$1:$AA$50</definedName>
    <definedName name="_xlnm.Print_Area" localSheetId="1">原紙!$A$1:$AA$50</definedName>
    <definedName name="_xlnm.Print_Titles" localSheetId="2">T_Version管理!$1:$3</definedName>
    <definedName name="_xlnm.Print_Titles" localSheetId="25">T_出力レポート!$1:$3</definedName>
    <definedName name="_xlnm.Print_Titles" localSheetId="35">WK_AO資材納期情報!$1:$3</definedName>
    <definedName name="_xlnm.Print_Titles" localSheetId="3">WK_Calendar_業務!$1:$3</definedName>
    <definedName name="_xlnm.Print_Titles" localSheetId="4">WK_Calendar_工場!$1:$3</definedName>
    <definedName name="_xlnm.Print_Titles" localSheetId="24">WK_FullHeightライン指示!$1:$3</definedName>
    <definedName name="_xlnm.Print_Titles" localSheetId="5">WK_Status!$1:$3</definedName>
    <definedName name="_xlnm.Print_Titles" localSheetId="6">WK_SxL品番読替表!$1:$3</definedName>
    <definedName name="_xlnm.Print_Titles" localSheetId="34">WK_アラジン用データ_製造日!$1:$3</definedName>
    <definedName name="_xlnm.Print_Titles" localSheetId="7">WK_チェックリスト!$1:$3</definedName>
    <definedName name="_xlnm.Print_Titles" localSheetId="23">WK_フルハイトライン製造数邸別!$1:$3</definedName>
    <definedName name="_xlnm.Print_Titles" localSheetId="26">WK_ラベル!$1:$3</definedName>
    <definedName name="_xlnm.Print_Titles" localSheetId="27">WK_縁張りコード表!$1:$3</definedName>
    <definedName name="_xlnm.Print_Titles" localSheetId="22">WK_契約番号!$1:$3</definedName>
    <definedName name="_xlnm.Print_Titles" localSheetId="28">WK_建具製造リスト_FullHeight!$1:$3</definedName>
    <definedName name="_xlnm.Print_Titles" localSheetId="8">WK_工程表データ!$1:$3</definedName>
    <definedName name="_xlnm.Print_Titles" localSheetId="9">WK_札データ!$1:$3</definedName>
    <definedName name="_xlnm.Print_Titles" localSheetId="10">WK_札データ_集計!$1:$3</definedName>
    <definedName name="_xlnm.Print_Titles" localSheetId="11">WK_札データ_備考!$1:$3</definedName>
    <definedName name="_xlnm.Print_Titles" localSheetId="12">WK_札台帳データ!$1:$3</definedName>
    <definedName name="_xlnm.Print_Titles" localSheetId="36">WK_資材納期!$1:$3</definedName>
    <definedName name="_xlnm.Print_Titles" localSheetId="29">WK_取付金物!$1:$3</definedName>
    <definedName name="_xlnm.Print_Titles" localSheetId="13">WK_上枠下地グループ集計!$1:$3</definedName>
    <definedName name="_xlnm.Print_Titles" localSheetId="30">WK_新ライン指示データ!$1:$3</definedName>
    <definedName name="_xlnm.Print_Titles" localSheetId="31">WK_製造依頼書建具!$1:$3</definedName>
    <definedName name="_xlnm.Print_Titles" localSheetId="32">WK_製造依頼書建具_FullHeight!$1:$3</definedName>
    <definedName name="_xlnm.Print_Titles" localSheetId="14">WK_製造指示!$1:$3</definedName>
    <definedName name="_xlnm.Print_Titles" localSheetId="15">WK_製造指示_Clone!$1:$3</definedName>
    <definedName name="_xlnm.Print_Titles" localSheetId="16">WK_製造日別集計データ!$1:$3</definedName>
    <definedName name="_xlnm.Print_Titles" localSheetId="17">WK_対象日付!$1:$3</definedName>
    <definedName name="_xlnm.Print_Titles" localSheetId="18">WK_台帳集計データ!$1:$3</definedName>
    <definedName name="_xlnm.Print_Titles" localSheetId="19">WK_追加製造!$1:$3</definedName>
    <definedName name="_xlnm.Print_Titles" localSheetId="33">WK_部材展開!$1:$3</definedName>
    <definedName name="_xlnm.Print_Titles" localSheetId="20">WK_枠出荷表!$1:$3</definedName>
    <definedName name="_xlnm.Print_Titles" localSheetId="21">WK_框材使用数!$1:$3</definedName>
    <definedName name="_xlnm.Print_Titles" localSheetId="1">原紙!$1:$3</definedName>
  </definedNames>
  <calcPr calcId="152511"/>
</workbook>
</file>

<file path=xl/calcChain.xml><?xml version="1.0" encoding="utf-8"?>
<calcChain xmlns="http://schemas.openxmlformats.org/spreadsheetml/2006/main">
  <c r="A185" i="78" l="1"/>
  <c r="A57" i="88"/>
  <c r="A169" i="78" l="1"/>
  <c r="A40" i="81" l="1"/>
  <c r="A41" i="81"/>
  <c r="A42" i="81"/>
  <c r="A43" i="81"/>
  <c r="A44" i="81"/>
  <c r="A34" i="80"/>
  <c r="A35" i="80"/>
  <c r="A36" i="80"/>
  <c r="A37" i="80"/>
  <c r="AB1" i="100" l="1"/>
  <c r="AC1" i="100"/>
  <c r="AC2" i="100"/>
  <c r="A4" i="100"/>
  <c r="A5" i="100"/>
  <c r="A6" i="100"/>
  <c r="A7" i="100"/>
  <c r="A8" i="100"/>
  <c r="A9" i="100"/>
  <c r="A10" i="100"/>
  <c r="A11" i="100"/>
  <c r="A12" i="100"/>
  <c r="A13" i="100"/>
  <c r="A14" i="100"/>
  <c r="A15" i="100"/>
  <c r="A16" i="100"/>
  <c r="A17" i="100"/>
  <c r="A18" i="100"/>
  <c r="A19" i="100"/>
  <c r="A20" i="100"/>
  <c r="A55" i="99"/>
  <c r="A54" i="99"/>
  <c r="A53" i="99"/>
  <c r="A52" i="99"/>
  <c r="A51" i="99"/>
  <c r="A50" i="99"/>
  <c r="A49" i="99"/>
  <c r="A48" i="99"/>
  <c r="A47" i="99"/>
  <c r="A46" i="99"/>
  <c r="A45" i="99"/>
  <c r="A44" i="99"/>
  <c r="A43" i="99"/>
  <c r="A42" i="99"/>
  <c r="A41" i="99"/>
  <c r="A40" i="99"/>
  <c r="A39" i="99"/>
  <c r="A38" i="99"/>
  <c r="A37" i="99"/>
  <c r="A36" i="99"/>
  <c r="A35" i="99"/>
  <c r="A34" i="99"/>
  <c r="A33" i="99"/>
  <c r="A32" i="99"/>
  <c r="A31" i="99"/>
  <c r="A30" i="99"/>
  <c r="A29" i="99"/>
  <c r="A28" i="99"/>
  <c r="A27" i="99"/>
  <c r="A26" i="99"/>
  <c r="A25" i="99"/>
  <c r="A24" i="99"/>
  <c r="A23" i="99"/>
  <c r="A22" i="99"/>
  <c r="A21" i="99"/>
  <c r="A20" i="99"/>
  <c r="A19" i="99"/>
  <c r="A18" i="99"/>
  <c r="A17" i="99"/>
  <c r="A16" i="99"/>
  <c r="A15" i="99"/>
  <c r="A14" i="99"/>
  <c r="A13" i="99"/>
  <c r="A12" i="99"/>
  <c r="A11" i="99"/>
  <c r="A10" i="99"/>
  <c r="A9" i="99"/>
  <c r="A8" i="99"/>
  <c r="A7" i="99"/>
  <c r="A6" i="99"/>
  <c r="A5" i="99"/>
  <c r="A4" i="99"/>
  <c r="AC2" i="99"/>
  <c r="AC1" i="99"/>
  <c r="AB1" i="99"/>
  <c r="A35" i="70" l="1"/>
  <c r="A34" i="98" l="1"/>
  <c r="A35" i="98"/>
  <c r="A36" i="98"/>
  <c r="A37" i="98"/>
  <c r="A38" i="98"/>
  <c r="A39" i="98"/>
  <c r="A40" i="98"/>
  <c r="A41" i="98"/>
  <c r="A42" i="98"/>
  <c r="A43" i="98"/>
  <c r="A44" i="98"/>
  <c r="A45" i="98"/>
  <c r="A46" i="98"/>
  <c r="A33" i="98" l="1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C2" i="98"/>
  <c r="AC1" i="98"/>
  <c r="AB1" i="98"/>
  <c r="A36" i="81"/>
  <c r="A37" i="81"/>
  <c r="A38" i="81"/>
  <c r="A39" i="81"/>
  <c r="A34" i="70" l="1"/>
  <c r="A34" i="90"/>
  <c r="A33" i="90"/>
  <c r="A34" i="89"/>
  <c r="A33" i="89"/>
  <c r="A13" i="96" l="1"/>
  <c r="A11" i="96"/>
  <c r="A99" i="78" l="1"/>
  <c r="A100" i="78"/>
  <c r="A101" i="78"/>
  <c r="A102" i="78"/>
  <c r="A103" i="78"/>
  <c r="A104" i="78"/>
  <c r="A24" i="97" l="1"/>
  <c r="A23" i="97"/>
  <c r="A22" i="97"/>
  <c r="A21" i="97"/>
  <c r="A20" i="97"/>
  <c r="A19" i="97"/>
  <c r="A18" i="97"/>
  <c r="A17" i="97"/>
  <c r="A16" i="97"/>
  <c r="A15" i="97"/>
  <c r="A14" i="97"/>
  <c r="A13" i="97"/>
  <c r="A12" i="97"/>
  <c r="A11" i="97"/>
  <c r="A10" i="97"/>
  <c r="A9" i="97"/>
  <c r="A8" i="97"/>
  <c r="A7" i="97"/>
  <c r="A6" i="97"/>
  <c r="A5" i="97"/>
  <c r="A4" i="97"/>
  <c r="AC2" i="97"/>
  <c r="AC1" i="97"/>
  <c r="AB1" i="97"/>
  <c r="A24" i="96"/>
  <c r="A23" i="96"/>
  <c r="A22" i="96"/>
  <c r="A21" i="96"/>
  <c r="A20" i="96"/>
  <c r="A19" i="96"/>
  <c r="A18" i="96"/>
  <c r="A17" i="96"/>
  <c r="A16" i="96"/>
  <c r="A15" i="96"/>
  <c r="A14" i="96"/>
  <c r="A12" i="96"/>
  <c r="A10" i="96"/>
  <c r="A9" i="96"/>
  <c r="A8" i="96"/>
  <c r="A7" i="96"/>
  <c r="A6" i="96"/>
  <c r="A5" i="96"/>
  <c r="A4" i="96"/>
  <c r="AC2" i="96"/>
  <c r="AC1" i="96"/>
  <c r="AB1" i="96"/>
  <c r="A33" i="95"/>
  <c r="A32" i="95"/>
  <c r="A31" i="95"/>
  <c r="A30" i="95"/>
  <c r="A29" i="95"/>
  <c r="A28" i="95"/>
  <c r="A27" i="95"/>
  <c r="A26" i="95"/>
  <c r="A25" i="95"/>
  <c r="A24" i="95"/>
  <c r="A23" i="95"/>
  <c r="A22" i="95"/>
  <c r="A21" i="95"/>
  <c r="A20" i="95"/>
  <c r="A19" i="95"/>
  <c r="A18" i="95"/>
  <c r="A17" i="95"/>
  <c r="A16" i="95"/>
  <c r="A15" i="95"/>
  <c r="A14" i="95"/>
  <c r="A13" i="95"/>
  <c r="A12" i="95"/>
  <c r="A11" i="95"/>
  <c r="A10" i="95"/>
  <c r="A9" i="95"/>
  <c r="A8" i="95"/>
  <c r="A7" i="95"/>
  <c r="A6" i="95"/>
  <c r="A5" i="95"/>
  <c r="A4" i="95"/>
  <c r="AC2" i="95"/>
  <c r="AC1" i="95"/>
  <c r="AB1" i="95"/>
  <c r="A37" i="94"/>
  <c r="A36" i="94"/>
  <c r="A35" i="94"/>
  <c r="A34" i="94"/>
  <c r="A33" i="94"/>
  <c r="A32" i="94"/>
  <c r="A31" i="94"/>
  <c r="A30" i="94"/>
  <c r="A29" i="94"/>
  <c r="A28" i="94"/>
  <c r="A27" i="94"/>
  <c r="A26" i="94"/>
  <c r="A25" i="94"/>
  <c r="A24" i="94"/>
  <c r="A23" i="94"/>
  <c r="A22" i="94"/>
  <c r="A21" i="94"/>
  <c r="A20" i="94"/>
  <c r="A19" i="94"/>
  <c r="A18" i="94"/>
  <c r="A17" i="94"/>
  <c r="A16" i="94"/>
  <c r="A15" i="94"/>
  <c r="A14" i="94"/>
  <c r="A13" i="94"/>
  <c r="A12" i="94"/>
  <c r="A11" i="94"/>
  <c r="A10" i="94"/>
  <c r="A9" i="94"/>
  <c r="A8" i="94"/>
  <c r="A7" i="94"/>
  <c r="A6" i="94"/>
  <c r="A5" i="94"/>
  <c r="A4" i="94"/>
  <c r="AC2" i="94"/>
  <c r="AC1" i="94"/>
  <c r="AB1" i="94"/>
  <c r="A45" i="93"/>
  <c r="A44" i="93"/>
  <c r="A43" i="93"/>
  <c r="A42" i="93"/>
  <c r="A41" i="93"/>
  <c r="A40" i="93"/>
  <c r="A39" i="93"/>
  <c r="A38" i="93"/>
  <c r="A37" i="93"/>
  <c r="A36" i="93"/>
  <c r="A35" i="93"/>
  <c r="A34" i="93"/>
  <c r="A33" i="93"/>
  <c r="A32" i="93"/>
  <c r="A31" i="93"/>
  <c r="A30" i="93"/>
  <c r="A29" i="93"/>
  <c r="A28" i="93"/>
  <c r="A27" i="93"/>
  <c r="A26" i="93"/>
  <c r="A25" i="93"/>
  <c r="A24" i="93"/>
  <c r="A23" i="93"/>
  <c r="A22" i="93"/>
  <c r="A21" i="93"/>
  <c r="A20" i="93"/>
  <c r="A19" i="93"/>
  <c r="A18" i="93"/>
  <c r="A17" i="93"/>
  <c r="A16" i="93"/>
  <c r="A15" i="93"/>
  <c r="A14" i="93"/>
  <c r="A13" i="93"/>
  <c r="A12" i="93"/>
  <c r="A11" i="93"/>
  <c r="A10" i="93"/>
  <c r="A9" i="93"/>
  <c r="A8" i="93"/>
  <c r="A7" i="93"/>
  <c r="A6" i="93"/>
  <c r="A5" i="93"/>
  <c r="A4" i="93"/>
  <c r="AC2" i="93"/>
  <c r="AC1" i="93"/>
  <c r="AB1" i="93"/>
  <c r="A5" i="92"/>
  <c r="A4" i="92"/>
  <c r="AC2" i="92"/>
  <c r="AC1" i="92"/>
  <c r="AB1" i="92"/>
  <c r="A26" i="91"/>
  <c r="A25" i="91"/>
  <c r="A24" i="91"/>
  <c r="A23" i="91"/>
  <c r="A22" i="91"/>
  <c r="A21" i="91"/>
  <c r="A20" i="91"/>
  <c r="A19" i="91"/>
  <c r="A18" i="91"/>
  <c r="A17" i="91"/>
  <c r="A16" i="91"/>
  <c r="A15" i="91"/>
  <c r="A14" i="91"/>
  <c r="A13" i="91"/>
  <c r="A12" i="91"/>
  <c r="A11" i="91"/>
  <c r="A10" i="91"/>
  <c r="A9" i="91"/>
  <c r="A8" i="91"/>
  <c r="A7" i="91"/>
  <c r="A6" i="91"/>
  <c r="A5" i="91"/>
  <c r="A4" i="91"/>
  <c r="AC2" i="91"/>
  <c r="AC1" i="91"/>
  <c r="AB1" i="91"/>
  <c r="A32" i="90"/>
  <c r="A31" i="90"/>
  <c r="A30" i="90"/>
  <c r="A29" i="90"/>
  <c r="A28" i="90"/>
  <c r="A27" i="90"/>
  <c r="A26" i="90"/>
  <c r="A25" i="90"/>
  <c r="A24" i="90"/>
  <c r="A23" i="90"/>
  <c r="A22" i="90"/>
  <c r="A21" i="90"/>
  <c r="A20" i="90"/>
  <c r="A19" i="90"/>
  <c r="A18" i="90"/>
  <c r="A17" i="90"/>
  <c r="A16" i="90"/>
  <c r="A15" i="90"/>
  <c r="A14" i="90"/>
  <c r="A13" i="90"/>
  <c r="A12" i="90"/>
  <c r="A11" i="90"/>
  <c r="A10" i="90"/>
  <c r="A9" i="90"/>
  <c r="A8" i="90"/>
  <c r="A7" i="90"/>
  <c r="A6" i="90"/>
  <c r="A5" i="90"/>
  <c r="A4" i="90"/>
  <c r="AC2" i="90"/>
  <c r="AC1" i="90"/>
  <c r="AB1" i="90"/>
  <c r="A32" i="89"/>
  <c r="A31" i="89"/>
  <c r="A30" i="89"/>
  <c r="A29" i="89"/>
  <c r="A28" i="89"/>
  <c r="A27" i="89"/>
  <c r="A26" i="89"/>
  <c r="A25" i="89"/>
  <c r="A24" i="89"/>
  <c r="A23" i="89"/>
  <c r="A22" i="89"/>
  <c r="A21" i="89"/>
  <c r="A20" i="89"/>
  <c r="A19" i="89"/>
  <c r="A18" i="89"/>
  <c r="A17" i="89"/>
  <c r="A16" i="89"/>
  <c r="A15" i="89"/>
  <c r="A14" i="89"/>
  <c r="A13" i="89"/>
  <c r="A12" i="89"/>
  <c r="A11" i="89"/>
  <c r="A10" i="89"/>
  <c r="A9" i="89"/>
  <c r="A8" i="89"/>
  <c r="A7" i="89"/>
  <c r="A6" i="89"/>
  <c r="A5" i="89"/>
  <c r="A4" i="89"/>
  <c r="AC2" i="89"/>
  <c r="AC1" i="89"/>
  <c r="AB1" i="89"/>
  <c r="A56" i="88"/>
  <c r="A55" i="88"/>
  <c r="A54" i="88"/>
  <c r="A53" i="88"/>
  <c r="A52" i="88"/>
  <c r="A51" i="88"/>
  <c r="A50" i="88"/>
  <c r="A49" i="88"/>
  <c r="A48" i="88"/>
  <c r="A47" i="88"/>
  <c r="A46" i="88"/>
  <c r="A45" i="88"/>
  <c r="A44" i="88"/>
  <c r="A43" i="88"/>
  <c r="A42" i="88"/>
  <c r="A41" i="88"/>
  <c r="A40" i="88"/>
  <c r="A39" i="88"/>
  <c r="A38" i="88"/>
  <c r="A37" i="88"/>
  <c r="A36" i="88"/>
  <c r="A35" i="88"/>
  <c r="A34" i="88"/>
  <c r="A33" i="88"/>
  <c r="A32" i="88"/>
  <c r="A31" i="88"/>
  <c r="A30" i="88"/>
  <c r="A29" i="88"/>
  <c r="A28" i="88"/>
  <c r="A27" i="88"/>
  <c r="A26" i="88"/>
  <c r="A25" i="88"/>
  <c r="A24" i="88"/>
  <c r="A23" i="88"/>
  <c r="A22" i="88"/>
  <c r="A21" i="88"/>
  <c r="A20" i="88"/>
  <c r="A19" i="88"/>
  <c r="A18" i="88"/>
  <c r="A17" i="88"/>
  <c r="A16" i="88"/>
  <c r="A15" i="88"/>
  <c r="A14" i="88"/>
  <c r="A13" i="88"/>
  <c r="A12" i="88"/>
  <c r="A11" i="88"/>
  <c r="A10" i="88"/>
  <c r="A9" i="88"/>
  <c r="A8" i="88"/>
  <c r="A7" i="88"/>
  <c r="A6" i="88"/>
  <c r="A5" i="88"/>
  <c r="A4" i="88"/>
  <c r="AC2" i="88"/>
  <c r="AC1" i="88"/>
  <c r="AB1" i="88"/>
  <c r="A56" i="87"/>
  <c r="A55" i="87"/>
  <c r="A54" i="87"/>
  <c r="A53" i="87"/>
  <c r="A52" i="87"/>
  <c r="A51" i="87"/>
  <c r="A50" i="87"/>
  <c r="A49" i="87"/>
  <c r="A48" i="87"/>
  <c r="A47" i="87"/>
  <c r="A46" i="87"/>
  <c r="A45" i="87"/>
  <c r="A44" i="87"/>
  <c r="A43" i="87"/>
  <c r="A42" i="87"/>
  <c r="A41" i="87"/>
  <c r="A40" i="87"/>
  <c r="A39" i="87"/>
  <c r="A38" i="87"/>
  <c r="A37" i="87"/>
  <c r="A36" i="87"/>
  <c r="A35" i="87"/>
  <c r="A34" i="87"/>
  <c r="A33" i="87"/>
  <c r="A32" i="87"/>
  <c r="A31" i="87"/>
  <c r="A30" i="87"/>
  <c r="A29" i="87"/>
  <c r="A28" i="87"/>
  <c r="A27" i="87"/>
  <c r="A26" i="87"/>
  <c r="A25" i="87"/>
  <c r="A24" i="87"/>
  <c r="A23" i="87"/>
  <c r="A22" i="87"/>
  <c r="A21" i="87"/>
  <c r="A20" i="87"/>
  <c r="A19" i="87"/>
  <c r="A18" i="87"/>
  <c r="A17" i="87"/>
  <c r="A16" i="87"/>
  <c r="A15" i="87"/>
  <c r="A14" i="87"/>
  <c r="A13" i="87"/>
  <c r="A12" i="87"/>
  <c r="A11" i="87"/>
  <c r="A10" i="87"/>
  <c r="A9" i="87"/>
  <c r="A8" i="87"/>
  <c r="A7" i="87"/>
  <c r="A6" i="87"/>
  <c r="A5" i="87"/>
  <c r="A4" i="87"/>
  <c r="AC2" i="87"/>
  <c r="AC1" i="87"/>
  <c r="AB1" i="87"/>
  <c r="A110" i="86"/>
  <c r="A109" i="86"/>
  <c r="A108" i="86"/>
  <c r="A107" i="86"/>
  <c r="A106" i="86"/>
  <c r="A105" i="86"/>
  <c r="A104" i="86"/>
  <c r="A103" i="86"/>
  <c r="A102" i="86"/>
  <c r="A101" i="86"/>
  <c r="A100" i="86"/>
  <c r="A99" i="86"/>
  <c r="A98" i="86"/>
  <c r="A97" i="86"/>
  <c r="A96" i="86"/>
  <c r="A95" i="86"/>
  <c r="A94" i="86"/>
  <c r="A93" i="86"/>
  <c r="A92" i="86"/>
  <c r="A91" i="86"/>
  <c r="A90" i="86"/>
  <c r="A89" i="86"/>
  <c r="A88" i="86"/>
  <c r="A87" i="86"/>
  <c r="A86" i="86"/>
  <c r="A85" i="86"/>
  <c r="A84" i="86"/>
  <c r="A83" i="86"/>
  <c r="A82" i="86"/>
  <c r="A81" i="86"/>
  <c r="A80" i="86"/>
  <c r="A79" i="86"/>
  <c r="A78" i="86"/>
  <c r="A77" i="86"/>
  <c r="A76" i="86"/>
  <c r="A75" i="86"/>
  <c r="A74" i="86"/>
  <c r="A73" i="86"/>
  <c r="A72" i="86"/>
  <c r="A71" i="86"/>
  <c r="A70" i="86"/>
  <c r="A69" i="86"/>
  <c r="A68" i="86"/>
  <c r="A67" i="86"/>
  <c r="A66" i="86"/>
  <c r="A65" i="86"/>
  <c r="A64" i="86"/>
  <c r="A63" i="86"/>
  <c r="A62" i="86"/>
  <c r="A61" i="86"/>
  <c r="A60" i="86"/>
  <c r="A59" i="86"/>
  <c r="A58" i="86"/>
  <c r="A57" i="86"/>
  <c r="A56" i="86"/>
  <c r="A55" i="86"/>
  <c r="A54" i="86"/>
  <c r="A53" i="86"/>
  <c r="A52" i="86"/>
  <c r="A51" i="86"/>
  <c r="A50" i="86"/>
  <c r="A49" i="86"/>
  <c r="A48" i="86"/>
  <c r="A47" i="86"/>
  <c r="A46" i="86"/>
  <c r="A45" i="86"/>
  <c r="A44" i="86"/>
  <c r="A43" i="86"/>
  <c r="A42" i="86"/>
  <c r="A41" i="86"/>
  <c r="A40" i="86"/>
  <c r="A39" i="86"/>
  <c r="A38" i="86"/>
  <c r="A37" i="86"/>
  <c r="A36" i="86"/>
  <c r="A35" i="86"/>
  <c r="A34" i="86"/>
  <c r="A33" i="86"/>
  <c r="A32" i="86"/>
  <c r="A31" i="86"/>
  <c r="A30" i="86"/>
  <c r="A29" i="86"/>
  <c r="A28" i="86"/>
  <c r="A27" i="86"/>
  <c r="A26" i="86"/>
  <c r="A25" i="86"/>
  <c r="A24" i="86"/>
  <c r="A23" i="86"/>
  <c r="A22" i="86"/>
  <c r="A21" i="86"/>
  <c r="A20" i="86"/>
  <c r="A19" i="86"/>
  <c r="A18" i="86"/>
  <c r="A17" i="86"/>
  <c r="A16" i="86"/>
  <c r="A15" i="86"/>
  <c r="A14" i="86"/>
  <c r="A13" i="86"/>
  <c r="A12" i="86"/>
  <c r="A11" i="86"/>
  <c r="A10" i="86"/>
  <c r="A9" i="86"/>
  <c r="A8" i="86"/>
  <c r="A7" i="86"/>
  <c r="A6" i="86"/>
  <c r="A5" i="86"/>
  <c r="A4" i="86"/>
  <c r="AC2" i="86"/>
  <c r="AC1" i="86"/>
  <c r="AB1" i="86"/>
  <c r="A24" i="85"/>
  <c r="A23" i="85"/>
  <c r="A22" i="85"/>
  <c r="A21" i="85"/>
  <c r="A20" i="85"/>
  <c r="A19" i="85"/>
  <c r="A18" i="85"/>
  <c r="A17" i="85"/>
  <c r="A16" i="85"/>
  <c r="A15" i="85"/>
  <c r="A14" i="85"/>
  <c r="A13" i="85"/>
  <c r="A12" i="85"/>
  <c r="A11" i="85"/>
  <c r="A10" i="85"/>
  <c r="A9" i="85"/>
  <c r="A8" i="85"/>
  <c r="A7" i="85"/>
  <c r="A6" i="85"/>
  <c r="A5" i="85"/>
  <c r="A4" i="85"/>
  <c r="AC2" i="85"/>
  <c r="AC1" i="85"/>
  <c r="AB1" i="85"/>
  <c r="A17" i="84"/>
  <c r="A16" i="84"/>
  <c r="A15" i="84"/>
  <c r="A14" i="84"/>
  <c r="A13" i="84"/>
  <c r="A12" i="84"/>
  <c r="A11" i="84"/>
  <c r="A10" i="84"/>
  <c r="A9" i="84"/>
  <c r="A8" i="84"/>
  <c r="A7" i="84"/>
  <c r="A6" i="84"/>
  <c r="A5" i="84"/>
  <c r="A4" i="84"/>
  <c r="AC2" i="84"/>
  <c r="AC1" i="84"/>
  <c r="AB1" i="84"/>
  <c r="A48" i="83"/>
  <c r="A47" i="83"/>
  <c r="A46" i="83"/>
  <c r="A45" i="83"/>
  <c r="A44" i="83"/>
  <c r="A43" i="83"/>
  <c r="A42" i="83"/>
  <c r="A41" i="83"/>
  <c r="A40" i="83"/>
  <c r="A39" i="83"/>
  <c r="A38" i="83"/>
  <c r="A37" i="83"/>
  <c r="A36" i="83"/>
  <c r="A35" i="83"/>
  <c r="A34" i="83"/>
  <c r="A33" i="83"/>
  <c r="A32" i="83"/>
  <c r="A31" i="83"/>
  <c r="A30" i="83"/>
  <c r="A29" i="83"/>
  <c r="A28" i="83"/>
  <c r="A27" i="83"/>
  <c r="A26" i="83"/>
  <c r="A25" i="83"/>
  <c r="A24" i="83"/>
  <c r="A23" i="83"/>
  <c r="A22" i="83"/>
  <c r="A21" i="83"/>
  <c r="A20" i="83"/>
  <c r="A19" i="83"/>
  <c r="A18" i="83"/>
  <c r="A17" i="83"/>
  <c r="A16" i="83"/>
  <c r="A15" i="83"/>
  <c r="A14" i="83"/>
  <c r="A13" i="83"/>
  <c r="A12" i="83"/>
  <c r="A11" i="83"/>
  <c r="A10" i="83"/>
  <c r="A9" i="83"/>
  <c r="A8" i="83"/>
  <c r="A7" i="83"/>
  <c r="A6" i="83"/>
  <c r="A5" i="83"/>
  <c r="A4" i="83"/>
  <c r="AC2" i="83"/>
  <c r="AC1" i="83"/>
  <c r="AB1" i="83"/>
  <c r="A13" i="82"/>
  <c r="A12" i="82"/>
  <c r="A11" i="82"/>
  <c r="A10" i="82"/>
  <c r="A9" i="82"/>
  <c r="A8" i="82"/>
  <c r="A7" i="82"/>
  <c r="A6" i="82"/>
  <c r="A5" i="82"/>
  <c r="A4" i="82"/>
  <c r="AC2" i="82"/>
  <c r="AC1" i="82"/>
  <c r="AB1" i="82"/>
  <c r="A35" i="81"/>
  <c r="A34" i="81"/>
  <c r="A33" i="81"/>
  <c r="A32" i="81"/>
  <c r="A31" i="81"/>
  <c r="A30" i="81"/>
  <c r="A29" i="81"/>
  <c r="A28" i="81"/>
  <c r="A27" i="81"/>
  <c r="A26" i="81"/>
  <c r="A25" i="81"/>
  <c r="A24" i="81"/>
  <c r="A23" i="81"/>
  <c r="A22" i="81"/>
  <c r="A21" i="81"/>
  <c r="A20" i="81"/>
  <c r="A19" i="81"/>
  <c r="A18" i="81"/>
  <c r="A17" i="81"/>
  <c r="A16" i="81"/>
  <c r="A15" i="81"/>
  <c r="A14" i="81"/>
  <c r="A13" i="81"/>
  <c r="A12" i="81"/>
  <c r="A11" i="81"/>
  <c r="A10" i="81"/>
  <c r="A9" i="81"/>
  <c r="A8" i="81"/>
  <c r="A7" i="81"/>
  <c r="A6" i="81"/>
  <c r="A5" i="81"/>
  <c r="A4" i="81"/>
  <c r="AC2" i="81"/>
  <c r="AC1" i="81"/>
  <c r="AB1" i="81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C2" i="80"/>
  <c r="AC1" i="80"/>
  <c r="AB1" i="80"/>
  <c r="A26" i="79"/>
  <c r="A25" i="79"/>
  <c r="A24" i="79"/>
  <c r="A23" i="79"/>
  <c r="A22" i="79"/>
  <c r="A21" i="79"/>
  <c r="A20" i="79"/>
  <c r="A19" i="79"/>
  <c r="A18" i="79"/>
  <c r="A17" i="79"/>
  <c r="A16" i="79"/>
  <c r="A15" i="79"/>
  <c r="A14" i="79"/>
  <c r="A13" i="79"/>
  <c r="A12" i="79"/>
  <c r="A11" i="79"/>
  <c r="A10" i="79"/>
  <c r="A9" i="79"/>
  <c r="A8" i="79"/>
  <c r="A7" i="79"/>
  <c r="A6" i="79"/>
  <c r="A5" i="79"/>
  <c r="A4" i="79"/>
  <c r="AC2" i="79"/>
  <c r="AC1" i="79"/>
  <c r="AB1" i="79"/>
  <c r="A184" i="78"/>
  <c r="A183" i="78"/>
  <c r="A182" i="78"/>
  <c r="A181" i="78"/>
  <c r="A180" i="78"/>
  <c r="A179" i="78"/>
  <c r="A178" i="78"/>
  <c r="A177" i="78"/>
  <c r="A176" i="78"/>
  <c r="A175" i="78"/>
  <c r="A174" i="78"/>
  <c r="A173" i="78"/>
  <c r="A172" i="78"/>
  <c r="A171" i="78"/>
  <c r="A170" i="78"/>
  <c r="A168" i="78"/>
  <c r="A167" i="78"/>
  <c r="A166" i="78"/>
  <c r="A165" i="78"/>
  <c r="A164" i="78"/>
  <c r="A163" i="78"/>
  <c r="A162" i="78"/>
  <c r="A161" i="78"/>
  <c r="A160" i="78"/>
  <c r="A159" i="78"/>
  <c r="A158" i="78"/>
  <c r="A157" i="78"/>
  <c r="A156" i="78"/>
  <c r="A155" i="78"/>
  <c r="A154" i="78"/>
  <c r="A153" i="78"/>
  <c r="A152" i="78"/>
  <c r="A151" i="78"/>
  <c r="A150" i="78"/>
  <c r="A149" i="78"/>
  <c r="A148" i="78"/>
  <c r="A147" i="78"/>
  <c r="A146" i="78"/>
  <c r="A145" i="78"/>
  <c r="A144" i="78"/>
  <c r="A143" i="78"/>
  <c r="A142" i="78"/>
  <c r="A141" i="78"/>
  <c r="A140" i="78"/>
  <c r="A139" i="78"/>
  <c r="A138" i="78"/>
  <c r="A137" i="78"/>
  <c r="A136" i="78"/>
  <c r="A135" i="78"/>
  <c r="A134" i="78"/>
  <c r="A133" i="78"/>
  <c r="A132" i="78"/>
  <c r="A131" i="78"/>
  <c r="A130" i="78"/>
  <c r="A129" i="78"/>
  <c r="A128" i="78"/>
  <c r="A127" i="78"/>
  <c r="A126" i="78"/>
  <c r="A125" i="78"/>
  <c r="A124" i="78"/>
  <c r="A123" i="78"/>
  <c r="A122" i="78"/>
  <c r="A121" i="78"/>
  <c r="A120" i="78"/>
  <c r="A119" i="78"/>
  <c r="A118" i="78"/>
  <c r="A117" i="78"/>
  <c r="A116" i="78"/>
  <c r="A115" i="78"/>
  <c r="A114" i="78"/>
  <c r="A113" i="78"/>
  <c r="A112" i="78"/>
  <c r="A111" i="78"/>
  <c r="A110" i="78"/>
  <c r="A109" i="78"/>
  <c r="A108" i="78"/>
  <c r="A107" i="78"/>
  <c r="A106" i="78"/>
  <c r="A105" i="78"/>
  <c r="A98" i="78"/>
  <c r="A97" i="78"/>
  <c r="A96" i="78"/>
  <c r="A95" i="78"/>
  <c r="A94" i="78"/>
  <c r="A93" i="78"/>
  <c r="A92" i="78"/>
  <c r="A91" i="78"/>
  <c r="A90" i="78"/>
  <c r="A89" i="78"/>
  <c r="A88" i="78"/>
  <c r="A87" i="78"/>
  <c r="A86" i="78"/>
  <c r="A85" i="78"/>
  <c r="A84" i="78"/>
  <c r="A83" i="78"/>
  <c r="A82" i="78"/>
  <c r="A81" i="78"/>
  <c r="A80" i="78"/>
  <c r="A79" i="78"/>
  <c r="A78" i="78"/>
  <c r="A77" i="78"/>
  <c r="A76" i="78"/>
  <c r="A75" i="78"/>
  <c r="A74" i="78"/>
  <c r="A73" i="78"/>
  <c r="A72" i="78"/>
  <c r="A71" i="78"/>
  <c r="A70" i="78"/>
  <c r="A69" i="78"/>
  <c r="A68" i="78"/>
  <c r="A67" i="78"/>
  <c r="A66" i="78"/>
  <c r="A65" i="78"/>
  <c r="A64" i="78"/>
  <c r="A63" i="78"/>
  <c r="A62" i="78"/>
  <c r="A61" i="78"/>
  <c r="A60" i="78"/>
  <c r="A59" i="78"/>
  <c r="A58" i="78"/>
  <c r="A57" i="78"/>
  <c r="A56" i="78"/>
  <c r="A55" i="78"/>
  <c r="A54" i="78"/>
  <c r="A53" i="78"/>
  <c r="A52" i="78"/>
  <c r="A51" i="78"/>
  <c r="A50" i="78"/>
  <c r="A49" i="78"/>
  <c r="A48" i="78"/>
  <c r="A47" i="78"/>
  <c r="A46" i="78"/>
  <c r="A45" i="78"/>
  <c r="A44" i="78"/>
  <c r="A43" i="78"/>
  <c r="A42" i="78"/>
  <c r="A41" i="78"/>
  <c r="A40" i="78"/>
  <c r="A39" i="78"/>
  <c r="A38" i="78"/>
  <c r="A37" i="78"/>
  <c r="A36" i="78"/>
  <c r="A35" i="78"/>
  <c r="A34" i="78"/>
  <c r="A33" i="78"/>
  <c r="A32" i="78"/>
  <c r="A31" i="78"/>
  <c r="A30" i="78"/>
  <c r="A29" i="78"/>
  <c r="A28" i="78"/>
  <c r="A27" i="78"/>
  <c r="A26" i="78"/>
  <c r="A25" i="78"/>
  <c r="A24" i="78"/>
  <c r="A23" i="78"/>
  <c r="A22" i="78"/>
  <c r="A21" i="78"/>
  <c r="A20" i="78"/>
  <c r="A19" i="78"/>
  <c r="A18" i="78"/>
  <c r="A17" i="78"/>
  <c r="A16" i="78"/>
  <c r="A15" i="78"/>
  <c r="A14" i="78"/>
  <c r="A13" i="78"/>
  <c r="A12" i="78"/>
  <c r="A11" i="78"/>
  <c r="A10" i="78"/>
  <c r="A9" i="78"/>
  <c r="A8" i="78"/>
  <c r="A7" i="78"/>
  <c r="A6" i="78"/>
  <c r="A5" i="78"/>
  <c r="A4" i="78"/>
  <c r="AC2" i="78"/>
  <c r="AC1" i="78"/>
  <c r="AB1" i="78"/>
  <c r="A12" i="77"/>
  <c r="A11" i="77"/>
  <c r="A10" i="77"/>
  <c r="A9" i="77"/>
  <c r="A8" i="77"/>
  <c r="A7" i="77"/>
  <c r="A6" i="77"/>
  <c r="A5" i="77"/>
  <c r="A4" i="77"/>
  <c r="AC2" i="77"/>
  <c r="AC1" i="77"/>
  <c r="AB1" i="77"/>
  <c r="A10" i="76"/>
  <c r="A9" i="76"/>
  <c r="A8" i="76"/>
  <c r="A7" i="76"/>
  <c r="A6" i="76"/>
  <c r="A5" i="76"/>
  <c r="A4" i="76"/>
  <c r="AC2" i="76"/>
  <c r="AC1" i="76"/>
  <c r="AB1" i="76"/>
  <c r="A29" i="75"/>
  <c r="A28" i="75"/>
  <c r="A27" i="75"/>
  <c r="A26" i="75"/>
  <c r="A25" i="75"/>
  <c r="A24" i="75"/>
  <c r="A23" i="75"/>
  <c r="A22" i="75"/>
  <c r="A21" i="75"/>
  <c r="A20" i="75"/>
  <c r="A19" i="75"/>
  <c r="A18" i="75"/>
  <c r="A17" i="75"/>
  <c r="A16" i="75"/>
  <c r="A15" i="75"/>
  <c r="A14" i="75"/>
  <c r="A13" i="75"/>
  <c r="A12" i="75"/>
  <c r="A11" i="75"/>
  <c r="A10" i="75"/>
  <c r="A9" i="75"/>
  <c r="A8" i="75"/>
  <c r="A7" i="75"/>
  <c r="A6" i="75"/>
  <c r="A5" i="75"/>
  <c r="A4" i="75"/>
  <c r="AC2" i="75"/>
  <c r="AC1" i="75"/>
  <c r="AB1" i="75"/>
  <c r="A8" i="74"/>
  <c r="A7" i="74"/>
  <c r="A6" i="74"/>
  <c r="A5" i="74"/>
  <c r="A4" i="74"/>
  <c r="AC2" i="74"/>
  <c r="AC1" i="74"/>
  <c r="AB1" i="74"/>
  <c r="A15" i="73"/>
  <c r="A14" i="73"/>
  <c r="A13" i="73"/>
  <c r="A12" i="73"/>
  <c r="A11" i="73"/>
  <c r="A10" i="73"/>
  <c r="A9" i="73"/>
  <c r="A8" i="73"/>
  <c r="A7" i="73"/>
  <c r="A6" i="73"/>
  <c r="A5" i="73"/>
  <c r="A4" i="73"/>
  <c r="AC2" i="73"/>
  <c r="AC1" i="73"/>
  <c r="AB1" i="73"/>
  <c r="A8" i="72"/>
  <c r="A7" i="72"/>
  <c r="A6" i="72"/>
  <c r="A5" i="72"/>
  <c r="A4" i="72"/>
  <c r="AC2" i="72"/>
  <c r="AC1" i="72"/>
  <c r="AB1" i="72"/>
  <c r="A24" i="71"/>
  <c r="A23" i="71"/>
  <c r="A22" i="71"/>
  <c r="A21" i="71"/>
  <c r="A20" i="71"/>
  <c r="A19" i="71"/>
  <c r="A18" i="71"/>
  <c r="A17" i="71"/>
  <c r="A16" i="71"/>
  <c r="A15" i="71"/>
  <c r="A14" i="71"/>
  <c r="A13" i="71"/>
  <c r="A12" i="71"/>
  <c r="A11" i="71"/>
  <c r="A10" i="71"/>
  <c r="A9" i="71"/>
  <c r="A8" i="71"/>
  <c r="A7" i="71"/>
  <c r="A6" i="71"/>
  <c r="A5" i="71"/>
  <c r="A4" i="71"/>
  <c r="AC2" i="71"/>
  <c r="AC1" i="71"/>
  <c r="AB1" i="71"/>
  <c r="A33" i="70"/>
  <c r="A32" i="70"/>
  <c r="A31" i="70"/>
  <c r="A30" i="70"/>
  <c r="A29" i="70"/>
  <c r="A28" i="70"/>
  <c r="A27" i="70"/>
  <c r="A26" i="70"/>
  <c r="A25" i="70"/>
  <c r="A24" i="70"/>
  <c r="A23" i="70"/>
  <c r="A22" i="70"/>
  <c r="A21" i="70"/>
  <c r="A20" i="70"/>
  <c r="A19" i="70"/>
  <c r="A18" i="70"/>
  <c r="A17" i="70"/>
  <c r="A16" i="70"/>
  <c r="A15" i="70"/>
  <c r="A14" i="70"/>
  <c r="A13" i="70"/>
  <c r="A12" i="70"/>
  <c r="A11" i="70"/>
  <c r="A10" i="70"/>
  <c r="A9" i="70"/>
  <c r="A8" i="70"/>
  <c r="A7" i="70"/>
  <c r="A6" i="70"/>
  <c r="A5" i="70"/>
  <c r="A4" i="70"/>
  <c r="AC2" i="70"/>
  <c r="AC1" i="70"/>
  <c r="AB1" i="70"/>
  <c r="A4" i="69"/>
  <c r="AC2" i="69"/>
  <c r="AC1" i="69"/>
  <c r="AB1" i="69"/>
  <c r="A4" i="68"/>
  <c r="AC2" i="68"/>
  <c r="AC1" i="68"/>
  <c r="AB1" i="68"/>
  <c r="A9" i="67"/>
  <c r="A8" i="67"/>
  <c r="A7" i="67"/>
  <c r="A6" i="67"/>
  <c r="A5" i="67"/>
  <c r="A4" i="67"/>
  <c r="AC2" i="67"/>
  <c r="AC1" i="67"/>
  <c r="AB1" i="67"/>
  <c r="A7" i="66"/>
  <c r="A6" i="66"/>
  <c r="A5" i="66"/>
  <c r="A4" i="66"/>
  <c r="AC2" i="66"/>
  <c r="AC1" i="66"/>
  <c r="AB1" i="66"/>
  <c r="AC2" i="1" l="1"/>
  <c r="AC1" i="1"/>
  <c r="AB1" i="1"/>
</calcChain>
</file>

<file path=xl/comments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4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5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6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7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8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9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0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4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5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6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7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8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9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0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4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5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6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7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8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9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0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4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5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6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sharedStrings.xml><?xml version="1.0" encoding="utf-8"?>
<sst xmlns="http://schemas.openxmlformats.org/spreadsheetml/2006/main" count="5105" uniqueCount="733">
  <si>
    <t>項目名称</t>
  </si>
  <si>
    <t>属性</t>
  </si>
  <si>
    <t>項目説明</t>
  </si>
  <si>
    <t>テーブル名</t>
    <phoneticPr fontId="3"/>
  </si>
  <si>
    <t>内 容</t>
    <rPh sb="0" eb="1">
      <t>ウチ</t>
    </rPh>
    <rPh sb="2" eb="3">
      <t>カタチ</t>
    </rPh>
    <phoneticPr fontId="3"/>
  </si>
  <si>
    <t>Pri-
Key</t>
    <phoneticPr fontId="3"/>
  </si>
  <si>
    <t>①</t>
    <phoneticPr fontId="3"/>
  </si>
  <si>
    <t>②</t>
    <phoneticPr fontId="3"/>
  </si>
  <si>
    <t>③</t>
    <phoneticPr fontId="3"/>
  </si>
  <si>
    <t>④</t>
    <phoneticPr fontId="3"/>
  </si>
  <si>
    <t>⑤</t>
    <phoneticPr fontId="3"/>
  </si>
  <si>
    <t>テキスト型</t>
    <rPh sb="4" eb="5">
      <t>カタ</t>
    </rPh>
    <phoneticPr fontId="3"/>
  </si>
  <si>
    <t>メモ型</t>
    <rPh sb="2" eb="3">
      <t>カタ</t>
    </rPh>
    <phoneticPr fontId="3"/>
  </si>
  <si>
    <t>日付/時刻型</t>
    <rPh sb="0" eb="2">
      <t>ヒヅケ</t>
    </rPh>
    <rPh sb="3" eb="5">
      <t>ジコク</t>
    </rPh>
    <rPh sb="5" eb="6">
      <t>カタ</t>
    </rPh>
    <phoneticPr fontId="3"/>
  </si>
  <si>
    <t>通貨型</t>
    <rPh sb="0" eb="2">
      <t>ツウカ</t>
    </rPh>
    <rPh sb="2" eb="3">
      <t>カタ</t>
    </rPh>
    <phoneticPr fontId="3"/>
  </si>
  <si>
    <t>ｵｰﾄﾅﾝﾊﾞｰ型</t>
    <rPh sb="8" eb="9">
      <t>カタ</t>
    </rPh>
    <phoneticPr fontId="3"/>
  </si>
  <si>
    <t>Yes/No型</t>
    <rPh sb="6" eb="7">
      <t>カタ</t>
    </rPh>
    <phoneticPr fontId="3"/>
  </si>
  <si>
    <t>サイズ</t>
    <phoneticPr fontId="3"/>
  </si>
  <si>
    <t>値要求</t>
    <rPh sb="0" eb="1">
      <t>アタイ</t>
    </rPh>
    <rPh sb="1" eb="3">
      <t>ヨウキュウ</t>
    </rPh>
    <phoneticPr fontId="3"/>
  </si>
  <si>
    <t>空文字</t>
    <rPh sb="0" eb="1">
      <t>カラ</t>
    </rPh>
    <rPh sb="1" eb="3">
      <t>モジ</t>
    </rPh>
    <phoneticPr fontId="3"/>
  </si>
  <si>
    <t>バイト型</t>
    <rPh sb="3" eb="4">
      <t>カタ</t>
    </rPh>
    <phoneticPr fontId="3"/>
  </si>
  <si>
    <t>整数型</t>
    <rPh sb="0" eb="2">
      <t>セイスウ</t>
    </rPh>
    <rPh sb="2" eb="3">
      <t>カタ</t>
    </rPh>
    <phoneticPr fontId="3"/>
  </si>
  <si>
    <t>長整数型</t>
    <rPh sb="0" eb="1">
      <t>チョウ</t>
    </rPh>
    <rPh sb="1" eb="3">
      <t>セイスウ</t>
    </rPh>
    <rPh sb="3" eb="4">
      <t>カタ</t>
    </rPh>
    <phoneticPr fontId="3"/>
  </si>
  <si>
    <t>単精度浮動小数点型</t>
    <rPh sb="0" eb="1">
      <t>タン</t>
    </rPh>
    <rPh sb="1" eb="3">
      <t>セイド</t>
    </rPh>
    <rPh sb="3" eb="5">
      <t>フドウ</t>
    </rPh>
    <rPh sb="5" eb="8">
      <t>ショウスウテン</t>
    </rPh>
    <rPh sb="8" eb="9">
      <t>カタ</t>
    </rPh>
    <phoneticPr fontId="3"/>
  </si>
  <si>
    <t>倍精度浮動小数点型</t>
    <rPh sb="0" eb="3">
      <t>バイセイド</t>
    </rPh>
    <rPh sb="3" eb="5">
      <t>フドウ</t>
    </rPh>
    <rPh sb="5" eb="7">
      <t>ショウスウ</t>
    </rPh>
    <rPh sb="7" eb="8">
      <t>テン</t>
    </rPh>
    <rPh sb="8" eb="9">
      <t>カタ</t>
    </rPh>
    <phoneticPr fontId="3"/>
  </si>
  <si>
    <t>-</t>
    <phoneticPr fontId="3"/>
  </si>
  <si>
    <t>はい</t>
    <phoneticPr fontId="3"/>
  </si>
  <si>
    <t>いいえ</t>
    <phoneticPr fontId="3"/>
  </si>
  <si>
    <t>許可</t>
    <rPh sb="0" eb="2">
      <t>キョカ</t>
    </rPh>
    <phoneticPr fontId="3"/>
  </si>
  <si>
    <t>不可</t>
    <rPh sb="0" eb="2">
      <t>フカ</t>
    </rPh>
    <phoneticPr fontId="3"/>
  </si>
  <si>
    <t>属性</t>
    <rPh sb="0" eb="2">
      <t>ゾクセイ</t>
    </rPh>
    <phoneticPr fontId="3"/>
  </si>
  <si>
    <t>数値</t>
    <rPh sb="0" eb="2">
      <t>スウチ</t>
    </rPh>
    <phoneticPr fontId="3"/>
  </si>
  <si>
    <t>○</t>
    <phoneticPr fontId="3"/>
  </si>
  <si>
    <t>×</t>
    <phoneticPr fontId="3"/>
  </si>
  <si>
    <t>※長整数型,インクリメントに限定</t>
    <rPh sb="1" eb="2">
      <t>チョウ</t>
    </rPh>
    <rPh sb="2" eb="4">
      <t>セイスウ</t>
    </rPh>
    <rPh sb="4" eb="5">
      <t>カタ</t>
    </rPh>
    <rPh sb="14" eb="16">
      <t>ゲンテイ</t>
    </rPh>
    <phoneticPr fontId="3"/>
  </si>
  <si>
    <t>値</t>
    <rPh sb="0" eb="1">
      <t>チ</t>
    </rPh>
    <phoneticPr fontId="3"/>
  </si>
  <si>
    <t>表記</t>
    <rPh sb="0" eb="2">
      <t>ヒョウキ</t>
    </rPh>
    <phoneticPr fontId="3"/>
  </si>
  <si>
    <t>dbText</t>
    <phoneticPr fontId="3"/>
  </si>
  <si>
    <t>dbMemo</t>
    <phoneticPr fontId="3"/>
  </si>
  <si>
    <t>dbByte</t>
    <phoneticPr fontId="3"/>
  </si>
  <si>
    <t>dbInteger</t>
    <phoneticPr fontId="3"/>
  </si>
  <si>
    <t>dbLong</t>
    <phoneticPr fontId="3"/>
  </si>
  <si>
    <t>dbSingle</t>
    <phoneticPr fontId="3"/>
  </si>
  <si>
    <t>dbDouble</t>
    <phoneticPr fontId="3"/>
  </si>
  <si>
    <t>dbDate</t>
    <phoneticPr fontId="3"/>
  </si>
  <si>
    <t>dbCurrency</t>
    <phoneticPr fontId="3"/>
  </si>
  <si>
    <t>dbBoolean</t>
    <phoneticPr fontId="3"/>
  </si>
  <si>
    <t>Index</t>
    <phoneticPr fontId="3"/>
  </si>
  <si>
    <t>№</t>
    <phoneticPr fontId="3"/>
  </si>
  <si>
    <t>テーブルID</t>
    <phoneticPr fontId="3"/>
  </si>
  <si>
    <t>○</t>
    <phoneticPr fontId="3"/>
  </si>
  <si>
    <t>サイズ</t>
    <phoneticPr fontId="3"/>
  </si>
  <si>
    <t>メモ</t>
    <phoneticPr fontId="3"/>
  </si>
  <si>
    <t>フィールドID</t>
    <phoneticPr fontId="3"/>
  </si>
  <si>
    <t>T_Version管理</t>
  </si>
  <si>
    <t>Version</t>
  </si>
  <si>
    <t>テキスト型</t>
  </si>
  <si>
    <t>はい</t>
  </si>
  <si>
    <t>許可</t>
  </si>
  <si>
    <t>コメント</t>
  </si>
  <si>
    <t>いいえ</t>
  </si>
  <si>
    <t>担当者</t>
  </si>
  <si>
    <t>更新日時</t>
  </si>
  <si>
    <t>日付/時刻型</t>
  </si>
  <si>
    <t>-</t>
  </si>
  <si>
    <t>WK_Calendar_業務</t>
  </si>
  <si>
    <t>休日</t>
  </si>
  <si>
    <t>WK_Calendar_工場</t>
  </si>
  <si>
    <t>WK_SxL品番読替表</t>
  </si>
  <si>
    <t>S×L品番</t>
  </si>
  <si>
    <t>ブランド品番</t>
  </si>
  <si>
    <t>DH</t>
  </si>
  <si>
    <t>倍精度浮動小数点型</t>
  </si>
  <si>
    <t>DW</t>
  </si>
  <si>
    <t>CH</t>
  </si>
  <si>
    <t>WK_チェックリスト</t>
  </si>
  <si>
    <t>契約番号</t>
  </si>
  <si>
    <t>棟番号</t>
  </si>
  <si>
    <t>部屋番号</t>
  </si>
  <si>
    <t>項</t>
  </si>
  <si>
    <t>長整数型</t>
  </si>
  <si>
    <t>種類</t>
  </si>
  <si>
    <t>チェックリスト区分</t>
  </si>
  <si>
    <t>欠品No</t>
  </si>
  <si>
    <t>欠品区分</t>
  </si>
  <si>
    <t>納品日</t>
  </si>
  <si>
    <t>出荷日</t>
  </si>
  <si>
    <t>出荷方法</t>
  </si>
  <si>
    <t>完了報告</t>
  </si>
  <si>
    <t>Yes/No型</t>
  </si>
  <si>
    <t>WK_札データ</t>
  </si>
  <si>
    <t>物件名</t>
  </si>
  <si>
    <t>施工店</t>
  </si>
  <si>
    <t>納品住所</t>
  </si>
  <si>
    <t>契約No</t>
  </si>
  <si>
    <t>製造区分</t>
  </si>
  <si>
    <t>確定日</t>
  </si>
  <si>
    <t>出荷日登録</t>
  </si>
  <si>
    <t>製造日</t>
  </si>
  <si>
    <t>Flush数</t>
  </si>
  <si>
    <t>F框数</t>
  </si>
  <si>
    <t>框数</t>
  </si>
  <si>
    <t>枠数</t>
  </si>
  <si>
    <t>三方枠数</t>
  </si>
  <si>
    <t>下地枠数</t>
  </si>
  <si>
    <t>ステルス枠数</t>
  </si>
  <si>
    <t>スルーガラス数</t>
  </si>
  <si>
    <t>ルーバー扉数</t>
  </si>
  <si>
    <t>塗装扉数</t>
  </si>
  <si>
    <t>モンスター数</t>
  </si>
  <si>
    <t>確定</t>
  </si>
  <si>
    <t>所要日数</t>
  </si>
  <si>
    <t>備考</t>
  </si>
  <si>
    <t>WK_札データ_集計</t>
  </si>
  <si>
    <t>不可</t>
  </si>
  <si>
    <t>枠計</t>
  </si>
  <si>
    <t>下地計</t>
  </si>
  <si>
    <t>建具計</t>
  </si>
  <si>
    <t>備考件数</t>
  </si>
  <si>
    <t>WK_製造指示</t>
  </si>
  <si>
    <t>製造番号</t>
  </si>
  <si>
    <t>品番区分</t>
  </si>
  <si>
    <t>特注</t>
  </si>
  <si>
    <t>登録時品番</t>
  </si>
  <si>
    <t>登録時品名</t>
  </si>
  <si>
    <t>登録時個別Spec</t>
  </si>
  <si>
    <t>早見表納品日</t>
  </si>
  <si>
    <t>登録時納品日</t>
  </si>
  <si>
    <t>数量</t>
  </si>
  <si>
    <t>資材納品日</t>
  </si>
  <si>
    <t>登録時出荷日</t>
  </si>
  <si>
    <t>技官製造日</t>
  </si>
  <si>
    <t>バイト型</t>
  </si>
  <si>
    <t>登録日時</t>
  </si>
  <si>
    <t>更新者ID</t>
  </si>
  <si>
    <t>更新者氏名</t>
  </si>
  <si>
    <t>更新FLG</t>
  </si>
  <si>
    <t>削除FLG</t>
  </si>
  <si>
    <t>WK_製造指示_Clone</t>
  </si>
  <si>
    <t>WK_製造日別集計データ</t>
  </si>
  <si>
    <t>工程表フラッシュ備考</t>
  </si>
  <si>
    <t>工程表塗装備考</t>
  </si>
  <si>
    <t>工程表框備考</t>
  </si>
  <si>
    <t>工程表枠備考</t>
  </si>
  <si>
    <t>WK_対象日付</t>
  </si>
  <si>
    <t>Date1</t>
  </si>
  <si>
    <t>Date2</t>
  </si>
  <si>
    <t>WK_追加製造</t>
  </si>
  <si>
    <t>工程表備考</t>
  </si>
  <si>
    <t>ガラス数量</t>
  </si>
  <si>
    <t>F框数量</t>
  </si>
  <si>
    <t>PALIO数量</t>
  </si>
  <si>
    <t>REALART塗装数量</t>
  </si>
  <si>
    <t>Air数量</t>
  </si>
  <si>
    <t>Monster数量</t>
  </si>
  <si>
    <t>Vertica数量</t>
  </si>
  <si>
    <t>品番</t>
  </si>
  <si>
    <t>建具確定日</t>
  </si>
  <si>
    <t>出荷予定日</t>
  </si>
  <si>
    <t>下地数量</t>
  </si>
  <si>
    <t>ステルス数量</t>
  </si>
  <si>
    <t>下地納品日</t>
  </si>
  <si>
    <t>下地納品住所</t>
  </si>
  <si>
    <t>下地出荷日</t>
  </si>
  <si>
    <t>下地出荷予定日</t>
  </si>
  <si>
    <t>枠製造</t>
  </si>
  <si>
    <t>下地材製造</t>
  </si>
  <si>
    <t>色</t>
  </si>
  <si>
    <t>Flush備考</t>
  </si>
  <si>
    <t>F框備考</t>
  </si>
  <si>
    <t>框備考</t>
  </si>
  <si>
    <t>枠備考</t>
  </si>
  <si>
    <t>三方枠備考</t>
  </si>
  <si>
    <t>下地備考</t>
  </si>
  <si>
    <t>ステルス枠備考</t>
  </si>
  <si>
    <t>ヴェルチカ数</t>
  </si>
  <si>
    <t>WK_工程表データ</t>
  </si>
  <si>
    <t>仮出荷日</t>
  </si>
  <si>
    <t>梱包形態</t>
  </si>
  <si>
    <t>製造品番</t>
  </si>
  <si>
    <t>ステルス備考</t>
  </si>
  <si>
    <t>WK_札台帳データ</t>
  </si>
  <si>
    <t>施工店県名</t>
  </si>
  <si>
    <t>区分</t>
  </si>
  <si>
    <t>納期</t>
  </si>
  <si>
    <t>窓口担当者</t>
  </si>
  <si>
    <t>受注日</t>
  </si>
  <si>
    <t>建具追加製造日</t>
  </si>
  <si>
    <t>スルーガラス</t>
  </si>
  <si>
    <t>宅配便</t>
  </si>
  <si>
    <t>建具枚数</t>
  </si>
  <si>
    <t>枠セット数</t>
  </si>
  <si>
    <t>下地枠セット数</t>
  </si>
  <si>
    <t>ステルス枠セット数</t>
  </si>
  <si>
    <t>ウォールスルーセット数</t>
  </si>
  <si>
    <t>フラッシュ数</t>
  </si>
  <si>
    <t>リアラート数</t>
  </si>
  <si>
    <t>パリオ数</t>
  </si>
  <si>
    <t>Air数</t>
  </si>
  <si>
    <t>Vertica数</t>
  </si>
  <si>
    <t>Monster数</t>
  </si>
  <si>
    <t>初回処理日時_建具</t>
  </si>
  <si>
    <t>初回処理日時_枠</t>
  </si>
  <si>
    <t>初回処理日時_下地</t>
  </si>
  <si>
    <t>変更処理日時_建具</t>
  </si>
  <si>
    <t>変更処理日時_枠</t>
  </si>
  <si>
    <t>変更処理日時_下地</t>
  </si>
  <si>
    <t>建具備考</t>
  </si>
  <si>
    <t>欠品FLG</t>
  </si>
  <si>
    <t>建具確定日変更</t>
  </si>
  <si>
    <t>枠確定日変更</t>
  </si>
  <si>
    <t>三方枠確定日変更</t>
  </si>
  <si>
    <t>下地確定日変更</t>
  </si>
  <si>
    <t>製造指示</t>
  </si>
  <si>
    <t>重要客先</t>
  </si>
  <si>
    <t>製造依頼書出力FLG</t>
  </si>
  <si>
    <t>WK_台帳集計データ</t>
  </si>
  <si>
    <t>現場名</t>
  </si>
  <si>
    <t>納期区分</t>
  </si>
  <si>
    <t>仕様</t>
  </si>
  <si>
    <t>納期変更FLG</t>
  </si>
  <si>
    <t>保留</t>
  </si>
  <si>
    <t>建具備考_新</t>
  </si>
  <si>
    <t>重複</t>
  </si>
  <si>
    <t>WK_框材使用数</t>
  </si>
  <si>
    <t>確定状態</t>
  </si>
  <si>
    <t>枚数</t>
  </si>
  <si>
    <t>部材名</t>
  </si>
  <si>
    <t>個別Spec</t>
  </si>
  <si>
    <t>建具設計備考</t>
  </si>
  <si>
    <t>上框種類</t>
  </si>
  <si>
    <t>上框長さ関数</t>
  </si>
  <si>
    <t>上框長さ個数</t>
  </si>
  <si>
    <t>下框種類</t>
  </si>
  <si>
    <t>下框長さ関数</t>
  </si>
  <si>
    <t>下框長さ個数</t>
  </si>
  <si>
    <t>WK_Status</t>
  </si>
  <si>
    <t>削除</t>
  </si>
  <si>
    <t>整数型</t>
  </si>
  <si>
    <t>区分名称</t>
  </si>
  <si>
    <t>数</t>
  </si>
  <si>
    <t>積算受付日</t>
  </si>
  <si>
    <t>積算通過日</t>
  </si>
  <si>
    <t>窓口受付日</t>
  </si>
  <si>
    <t>窓口通過日</t>
  </si>
  <si>
    <t>設計受付日</t>
  </si>
  <si>
    <t>設計通過日</t>
  </si>
  <si>
    <t>資材受付日</t>
  </si>
  <si>
    <t>資材通過日</t>
  </si>
  <si>
    <t>製造受付日</t>
  </si>
  <si>
    <t>引渡期限日</t>
  </si>
  <si>
    <t>品番受注日</t>
  </si>
  <si>
    <t>ソート順</t>
  </si>
  <si>
    <t>1.10.8 ADD</t>
  </si>
  <si>
    <t>製造日_変更前</t>
  </si>
  <si>
    <t>WK_札データ_備考</t>
  </si>
  <si>
    <t>WK_上枠下地グループ集計</t>
  </si>
  <si>
    <t>邸名</t>
  </si>
  <si>
    <t>下地材品番</t>
  </si>
  <si>
    <t>商品名</t>
  </si>
  <si>
    <t>開き戸</t>
  </si>
  <si>
    <t>クローゼット</t>
  </si>
  <si>
    <t>ステルス</t>
  </si>
  <si>
    <t>上枠下地W</t>
  </si>
  <si>
    <t>分割後上枠下地W</t>
  </si>
  <si>
    <t>上枠下地W長さグループ</t>
  </si>
  <si>
    <t>上総巾</t>
  </si>
  <si>
    <t>上固定値巾</t>
  </si>
  <si>
    <t>上変動値巾</t>
  </si>
  <si>
    <t>厚さ</t>
  </si>
  <si>
    <t>カット後数量</t>
  </si>
  <si>
    <t>入力順</t>
  </si>
  <si>
    <t>1.10.14</t>
  </si>
  <si>
    <t>WK_枠出荷表</t>
  </si>
  <si>
    <t>インセット出荷予定日</t>
  </si>
  <si>
    <t>下地枠出荷予定日</t>
  </si>
  <si>
    <t>インセット</t>
  </si>
  <si>
    <t>下地枠</t>
  </si>
  <si>
    <t>ステルス枠</t>
  </si>
  <si>
    <t>三方開</t>
  </si>
  <si>
    <t>三方引</t>
  </si>
  <si>
    <t>ｹｰｼﾝｸﾞ</t>
  </si>
  <si>
    <t>インセット梱包形態</t>
  </si>
  <si>
    <t>三方梱包形態</t>
  </si>
  <si>
    <t>下地梱包形態</t>
  </si>
  <si>
    <t>三方枠出荷予定日</t>
  </si>
  <si>
    <t>インセット確定日</t>
  </si>
  <si>
    <t>下地枠確定日</t>
  </si>
  <si>
    <t>SortOrder</t>
  </si>
  <si>
    <t>WK_フルハイトライン製造数邸別</t>
  </si>
  <si>
    <t>フルハイトライン製造可能数</t>
  </si>
  <si>
    <t>フルハイトライン指示済数</t>
  </si>
  <si>
    <t>WK_FullHeightライン指示</t>
  </si>
  <si>
    <t>工場CD</t>
  </si>
  <si>
    <t>変更前工場CD</t>
  </si>
  <si>
    <t>bol工場</t>
  </si>
  <si>
    <t>面材色</t>
  </si>
  <si>
    <t>Style</t>
  </si>
  <si>
    <t>開閉様式</t>
  </si>
  <si>
    <t>製造管理システム2_1_0.accdb</t>
    <phoneticPr fontId="3"/>
  </si>
  <si>
    <t>C:\Users\asayama\Desktop</t>
    <phoneticPr fontId="3"/>
  </si>
  <si>
    <t>T_出力レポート</t>
  </si>
  <si>
    <t>処理名</t>
  </si>
  <si>
    <t>レポート名</t>
  </si>
  <si>
    <t>表示レポート名</t>
  </si>
  <si>
    <t>出力順</t>
  </si>
  <si>
    <t>Where条件</t>
  </si>
  <si>
    <t>部数</t>
  </si>
  <si>
    <t>WK_ラベル</t>
  </si>
  <si>
    <t>販社注文No</t>
  </si>
  <si>
    <t>発注元</t>
  </si>
  <si>
    <t>設置場所</t>
  </si>
  <si>
    <t>階</t>
  </si>
  <si>
    <t>吊元</t>
  </si>
  <si>
    <t>施錠</t>
  </si>
  <si>
    <t>全梱包数</t>
  </si>
  <si>
    <t>個口数</t>
  </si>
  <si>
    <t>製品区分</t>
  </si>
  <si>
    <t>製造依頼書の番号といっしょ</t>
  </si>
  <si>
    <t>通番</t>
  </si>
  <si>
    <t>20150924 K.Asayama WK_帳票作成の入力順</t>
  </si>
  <si>
    <t>物件名LENG</t>
  </si>
  <si>
    <t>ライン区分</t>
  </si>
  <si>
    <t>明細数</t>
  </si>
  <si>
    <t>WK_縁張りコード表</t>
  </si>
  <si>
    <t>連番</t>
  </si>
  <si>
    <t>カセット</t>
  </si>
  <si>
    <t>ローカン</t>
  </si>
  <si>
    <t>エッジ</t>
  </si>
  <si>
    <t>1mm</t>
  </si>
  <si>
    <t>WK_契約番号</t>
  </si>
  <si>
    <t>ID</t>
  </si>
  <si>
    <t>棟No</t>
  </si>
  <si>
    <t>部屋No</t>
  </si>
  <si>
    <t>ErrMsg</t>
  </si>
  <si>
    <t>システム更新日時</t>
  </si>
  <si>
    <t>WK_建具製造リスト_FullHeight</t>
  </si>
  <si>
    <t>OEM品番</t>
  </si>
  <si>
    <t>色コード</t>
  </si>
  <si>
    <t>受注枚数</t>
  </si>
  <si>
    <t>扉位置</t>
  </si>
  <si>
    <t>半割り</t>
  </si>
  <si>
    <t>建具スタイル</t>
  </si>
  <si>
    <t>建具形状</t>
  </si>
  <si>
    <t>親子</t>
  </si>
  <si>
    <t>明り窓</t>
  </si>
  <si>
    <t>基本図</t>
  </si>
  <si>
    <t>芯組詳細図</t>
  </si>
  <si>
    <t>ガラス厚</t>
  </si>
  <si>
    <t>ガラス種類</t>
  </si>
  <si>
    <t>ガラス枚数</t>
  </si>
  <si>
    <t>ガラス種類2</t>
  </si>
  <si>
    <t>ガラス枚数2</t>
  </si>
  <si>
    <t>テノナW</t>
  </si>
  <si>
    <t>テノナW2</t>
  </si>
  <si>
    <t>テノナW中板</t>
  </si>
  <si>
    <t>テノナW中板2</t>
  </si>
  <si>
    <t>W1</t>
  </si>
  <si>
    <t>W2</t>
  </si>
  <si>
    <t>ガラスW</t>
  </si>
  <si>
    <t>テノナH</t>
  </si>
  <si>
    <t>テノナH2</t>
  </si>
  <si>
    <t>ガラスH</t>
  </si>
  <si>
    <t>テノナH中板</t>
  </si>
  <si>
    <t>テノナH中板2</t>
  </si>
  <si>
    <t>H1</t>
  </si>
  <si>
    <t>H2</t>
  </si>
  <si>
    <t>H3</t>
  </si>
  <si>
    <t>ガラス厚1</t>
  </si>
  <si>
    <t>ガラスW1</t>
  </si>
  <si>
    <t>ガラスH1</t>
  </si>
  <si>
    <t>芯厚</t>
  </si>
  <si>
    <t>扉厚</t>
  </si>
  <si>
    <t>中板扉厚</t>
  </si>
  <si>
    <t>表面材厚み</t>
  </si>
  <si>
    <t>表面材厚み2</t>
  </si>
  <si>
    <t>CU_AS_AW表面材W</t>
  </si>
  <si>
    <t>CU_AS_AW表面材W2</t>
  </si>
  <si>
    <t>CU_AS_AW表面材H</t>
  </si>
  <si>
    <t>CU_AS_AW表面材H2</t>
  </si>
  <si>
    <t>CU_AS_AW表面材枚数</t>
  </si>
  <si>
    <t>CU_AS_AW表面材枚数2</t>
  </si>
  <si>
    <t>AS_AW中板W</t>
  </si>
  <si>
    <t>AS_AW中板W1</t>
  </si>
  <si>
    <t>AS_AW中板W2</t>
  </si>
  <si>
    <t>AS_AW中板H</t>
  </si>
  <si>
    <t>AS_AW中板H1</t>
  </si>
  <si>
    <t>AS_AW中板H2</t>
  </si>
  <si>
    <t>AS_AW中板枚数</t>
  </si>
  <si>
    <t>AS_AW中板枚数1</t>
  </si>
  <si>
    <t>AS_AW中板枚数2</t>
  </si>
  <si>
    <t>上パネルW</t>
  </si>
  <si>
    <t>上パネルH</t>
  </si>
  <si>
    <t>上パネル枚数</t>
  </si>
  <si>
    <t>上HFLG</t>
  </si>
  <si>
    <t>中パネルH</t>
  </si>
  <si>
    <t>中パネル枚数</t>
  </si>
  <si>
    <t>中HFLG</t>
  </si>
  <si>
    <t>下パネルH</t>
  </si>
  <si>
    <t>下パネル枚数</t>
  </si>
  <si>
    <t>下HFLG</t>
  </si>
  <si>
    <t>ミラー表H</t>
  </si>
  <si>
    <t>ミラー表枚数</t>
  </si>
  <si>
    <t>ミラー裏H</t>
  </si>
  <si>
    <t>ミラー裏枚数</t>
  </si>
  <si>
    <t>メタルW</t>
  </si>
  <si>
    <t>メタル枚数</t>
  </si>
  <si>
    <t>上框長さ</t>
  </si>
  <si>
    <t>上框本数</t>
  </si>
  <si>
    <t>下框長さ</t>
  </si>
  <si>
    <t>下框本数</t>
  </si>
  <si>
    <t>アクセントライン</t>
  </si>
  <si>
    <t>ダボピッチ1</t>
  </si>
  <si>
    <t>ダボピッチ2</t>
  </si>
  <si>
    <t>ダボピッチ3</t>
  </si>
  <si>
    <t>ダボピッチ4</t>
  </si>
  <si>
    <t>ダボピッチ5</t>
  </si>
  <si>
    <t>ダボピッチ6</t>
  </si>
  <si>
    <t>ダボピッチ7</t>
  </si>
  <si>
    <t>ダボピッチ8</t>
  </si>
  <si>
    <t>ダボピッチ9</t>
  </si>
  <si>
    <t>ダボピッチ10</t>
  </si>
  <si>
    <t>丁番位置上</t>
  </si>
  <si>
    <t>丁番位置中上</t>
  </si>
  <si>
    <t>丁番位置中下</t>
  </si>
  <si>
    <t>丁番位置下</t>
  </si>
  <si>
    <t>溝</t>
  </si>
  <si>
    <t>ハンドル引手センター</t>
  </si>
  <si>
    <t>ハンドル引手BS</t>
  </si>
  <si>
    <t>鎌錠センター</t>
  </si>
  <si>
    <t>鎌錠BS</t>
  </si>
  <si>
    <t>引込取手センター</t>
  </si>
  <si>
    <t>子扉ラッチ受けセンター</t>
  </si>
  <si>
    <t>子扉鎌錠受けセンター</t>
  </si>
  <si>
    <t>縁張外</t>
  </si>
  <si>
    <t>縁張内</t>
  </si>
  <si>
    <t>取付金物1</t>
  </si>
  <si>
    <t>取付金物1色</t>
  </si>
  <si>
    <t>取付金物1数量</t>
  </si>
  <si>
    <t>取付金物2</t>
  </si>
  <si>
    <t>取付金物2色</t>
  </si>
  <si>
    <t>取付金物2数量</t>
  </si>
  <si>
    <t>取付金物3</t>
  </si>
  <si>
    <t>取付金物3色</t>
  </si>
  <si>
    <t>取付金物3数量</t>
  </si>
  <si>
    <t>取付金物4</t>
  </si>
  <si>
    <t>取付金物4色</t>
  </si>
  <si>
    <t>取付金物4数量</t>
  </si>
  <si>
    <t>取付金物5</t>
  </si>
  <si>
    <t>取付金物5色</t>
  </si>
  <si>
    <t>取付金物5数量</t>
  </si>
  <si>
    <t>取付金物6</t>
  </si>
  <si>
    <t>取付金物6色</t>
  </si>
  <si>
    <t>取付金物6数量</t>
  </si>
  <si>
    <t>取付金物7</t>
  </si>
  <si>
    <t>取付金物7色</t>
  </si>
  <si>
    <t>取付金物7数量</t>
  </si>
  <si>
    <t>取付金物8</t>
  </si>
  <si>
    <t>取付金物8色</t>
  </si>
  <si>
    <t>取付金物8数量</t>
  </si>
  <si>
    <t>取付金物9</t>
  </si>
  <si>
    <t>取付金物9色</t>
  </si>
  <si>
    <t>取付金物9数量</t>
  </si>
  <si>
    <t>取付金物10</t>
  </si>
  <si>
    <t>取付金物10色</t>
  </si>
  <si>
    <t>取付金物10数量</t>
  </si>
  <si>
    <t>QRコード</t>
  </si>
  <si>
    <t>QRコード_2</t>
  </si>
  <si>
    <t>戸開き図</t>
  </si>
  <si>
    <t>カセット加工図</t>
  </si>
  <si>
    <t>Spec</t>
  </si>
  <si>
    <t>設計備考</t>
  </si>
  <si>
    <t>ラインALL数量</t>
  </si>
  <si>
    <t>ライン2数量</t>
  </si>
  <si>
    <t>注意FLG</t>
  </si>
  <si>
    <t>新面材割付</t>
  </si>
  <si>
    <t>旧ヒンジ</t>
  </si>
  <si>
    <t>旧仕様</t>
  </si>
  <si>
    <t>物流施工日</t>
  </si>
  <si>
    <t>建具出荷方法</t>
  </si>
  <si>
    <t>クレーム用備考</t>
  </si>
  <si>
    <t>折戸枚数</t>
  </si>
  <si>
    <t>08カタログ</t>
  </si>
  <si>
    <t>台車区分</t>
  </si>
  <si>
    <t>1.12.3 ADD</t>
  </si>
  <si>
    <t>フルハイトライン数量</t>
  </si>
  <si>
    <t>フルハイト製造可能数</t>
  </si>
  <si>
    <t>フルハイト指示済数</t>
  </si>
  <si>
    <t>WK_取付金物</t>
  </si>
  <si>
    <t>部材種別CD</t>
  </si>
  <si>
    <t>商品CD</t>
  </si>
  <si>
    <t>符号</t>
  </si>
  <si>
    <t>同梱</t>
  </si>
  <si>
    <t>取付</t>
  </si>
  <si>
    <t>取付金物</t>
  </si>
  <si>
    <t>WK_新ライン指示データ</t>
  </si>
  <si>
    <t>新ライン指示データ</t>
  </si>
  <si>
    <t>建具種類</t>
  </si>
  <si>
    <t>親子（扉種類）</t>
  </si>
  <si>
    <t>建具品番</t>
  </si>
  <si>
    <t>扉色</t>
  </si>
  <si>
    <t>扉色（裏）</t>
  </si>
  <si>
    <t>扉色裏</t>
  </si>
  <si>
    <t>テノーナW</t>
  </si>
  <si>
    <t>1枚目W（パネルソーW1)</t>
  </si>
  <si>
    <t>パネルソーW1</t>
  </si>
  <si>
    <t>2枚目W（パネルソーW2)</t>
  </si>
  <si>
    <t>パネルソーW2</t>
  </si>
  <si>
    <t>テノーナH</t>
  </si>
  <si>
    <t>面材厚み</t>
  </si>
  <si>
    <t>製造ライン</t>
  </si>
  <si>
    <t>縁張り色</t>
  </si>
  <si>
    <t>縁張り1（外）</t>
  </si>
  <si>
    <t>縁張り外</t>
  </si>
  <si>
    <t>縁張り2（内）</t>
  </si>
  <si>
    <t>縁張り内</t>
  </si>
  <si>
    <t>ハンドル引手（表・戸先）加工種類</t>
  </si>
  <si>
    <t>A1</t>
  </si>
  <si>
    <t>ハンドル引手センター（表・戸先）</t>
  </si>
  <si>
    <t>A1CENTER</t>
  </si>
  <si>
    <t>引手（表・戸尻）加工種類</t>
  </si>
  <si>
    <t>A2</t>
  </si>
  <si>
    <t>ハンドル引手センター（表・戸尻）</t>
  </si>
  <si>
    <t>A2CENTER</t>
  </si>
  <si>
    <t>引手（裏・戸先）加工種類</t>
  </si>
  <si>
    <t>A3</t>
  </si>
  <si>
    <t>ハンドル引手センター（裏・戸先）</t>
  </si>
  <si>
    <t>A3CENTER</t>
  </si>
  <si>
    <t>引手（裏・戸尻）加工種類</t>
  </si>
  <si>
    <t>A4</t>
  </si>
  <si>
    <t>ハンドル引手センター（裏・戸尻）</t>
  </si>
  <si>
    <t>A4CENTER</t>
  </si>
  <si>
    <t>ラッチ受け加工</t>
  </si>
  <si>
    <t>A5</t>
  </si>
  <si>
    <t>ラッチ受けセンター</t>
  </si>
  <si>
    <t>A5CENTER</t>
  </si>
  <si>
    <t>錠加工種類（鎌錠・本締錠）</t>
  </si>
  <si>
    <t>A6</t>
  </si>
  <si>
    <t>A6CENTER</t>
  </si>
  <si>
    <t>錠加工種類（アウトセット引戸錠）</t>
  </si>
  <si>
    <t>A7</t>
  </si>
  <si>
    <t>アウトセット引戸錠センター</t>
  </si>
  <si>
    <t>A7CENTER</t>
  </si>
  <si>
    <t>引込取手種類</t>
  </si>
  <si>
    <t>A8</t>
  </si>
  <si>
    <t>A8CENTER</t>
  </si>
  <si>
    <t>溝（上）</t>
  </si>
  <si>
    <t>B1</t>
  </si>
  <si>
    <t>溝（上）加工</t>
  </si>
  <si>
    <t>B1W</t>
  </si>
  <si>
    <t>溝（下）</t>
  </si>
  <si>
    <t>B2</t>
  </si>
  <si>
    <t>溝（下）加工</t>
  </si>
  <si>
    <t>B2W</t>
  </si>
  <si>
    <t>B3</t>
  </si>
  <si>
    <t>明り窓位置W</t>
  </si>
  <si>
    <t>B3W</t>
  </si>
  <si>
    <t>明り窓位置H</t>
  </si>
  <si>
    <t>B3H</t>
  </si>
  <si>
    <t>ソフトモーション種類</t>
  </si>
  <si>
    <t>B4</t>
  </si>
  <si>
    <t>丁番 加工種類</t>
  </si>
  <si>
    <t>B5</t>
  </si>
  <si>
    <t>丁番位置（上）</t>
  </si>
  <si>
    <t>B5T</t>
  </si>
  <si>
    <t>丁番位置（中1）</t>
  </si>
  <si>
    <t>B5M1</t>
  </si>
  <si>
    <t>丁番位置（中2）</t>
  </si>
  <si>
    <t>B5M2</t>
  </si>
  <si>
    <t>丁番位置（下）</t>
  </si>
  <si>
    <t>B5B</t>
  </si>
  <si>
    <t>戸先加工（上木口）加工種類</t>
  </si>
  <si>
    <t>B6</t>
  </si>
  <si>
    <t>戸先加工（下木口）加工種類</t>
  </si>
  <si>
    <t>B7</t>
  </si>
  <si>
    <t>戸先加工（側面上部）加工種類</t>
  </si>
  <si>
    <t>B8</t>
  </si>
  <si>
    <t>戸先加工（側面下部）加工種類</t>
  </si>
  <si>
    <t>B9</t>
  </si>
  <si>
    <t>戸尻加工（上木口）加工種類</t>
  </si>
  <si>
    <t>B10</t>
  </si>
  <si>
    <t>戸尻加工（下木口）加工種類</t>
  </si>
  <si>
    <t>B11</t>
  </si>
  <si>
    <t>戸尻加工（側面上部）加工種類</t>
  </si>
  <si>
    <t>B12</t>
  </si>
  <si>
    <t>戸尻加工（側面下部）加工種類</t>
  </si>
  <si>
    <t>B13</t>
  </si>
  <si>
    <t>フランス落し（上）加工種類</t>
  </si>
  <si>
    <t>B26</t>
  </si>
  <si>
    <t>フランス落し（下）加工種類</t>
  </si>
  <si>
    <t>B27</t>
  </si>
  <si>
    <t>戸先側ガイドピース加工種類（表）</t>
  </si>
  <si>
    <t>B14S</t>
  </si>
  <si>
    <t>戸先側ガイドピース位置（W)（表）</t>
  </si>
  <si>
    <t>B14SW</t>
  </si>
  <si>
    <t>戸尻側ガイドピース加工種類（表）</t>
  </si>
  <si>
    <t>B14J</t>
  </si>
  <si>
    <t>戸尻側ガイドピース位置（W)（表）</t>
  </si>
  <si>
    <t>B14JW</t>
  </si>
  <si>
    <t>戸先側ガイドピース加工種類（裏）</t>
  </si>
  <si>
    <t>B15S</t>
  </si>
  <si>
    <t>戸先側ガイドピース位置（W)（裏）</t>
  </si>
  <si>
    <t>B15SW</t>
  </si>
  <si>
    <t>戸尻側ガイドピース加工種類（裏）</t>
  </si>
  <si>
    <t>B15J</t>
  </si>
  <si>
    <t>戸尻側ガイドピース位置（W)（裏）</t>
  </si>
  <si>
    <t>B15JW</t>
  </si>
  <si>
    <t>ペットドア（カロ）楕円パイプ加工種類</t>
  </si>
  <si>
    <t>B16</t>
  </si>
  <si>
    <t>ペットドア（カロ）楕円パイプ加工位置</t>
  </si>
  <si>
    <t>B16H</t>
  </si>
  <si>
    <t>ホゾ・ダボ加工（上）種類</t>
  </si>
  <si>
    <t>B17</t>
  </si>
  <si>
    <t>ホゾ・ダボ加工（下）種類</t>
  </si>
  <si>
    <t>B18</t>
  </si>
  <si>
    <t>ワイヤー加工種類</t>
  </si>
  <si>
    <t>B19</t>
  </si>
  <si>
    <t>上ホゾ加工種類</t>
  </si>
  <si>
    <t>B20</t>
  </si>
  <si>
    <t>プレート加工（上）</t>
  </si>
  <si>
    <t>B21</t>
  </si>
  <si>
    <t>プレート加工（下）</t>
  </si>
  <si>
    <t>B22</t>
  </si>
  <si>
    <t>補強バー加工</t>
  </si>
  <si>
    <t>B23</t>
  </si>
  <si>
    <t>補強バー加工位置</t>
  </si>
  <si>
    <t>B24H</t>
  </si>
  <si>
    <t>ダボ穴加工</t>
  </si>
  <si>
    <t>B25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</si>
  <si>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</si>
  <si>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</si>
  <si>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</si>
  <si>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</si>
  <si>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</si>
  <si>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</si>
  <si>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</si>
  <si>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</si>
  <si>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</si>
  <si>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</si>
  <si>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ガラス厚み</t>
  </si>
  <si>
    <t>パネル</t>
  </si>
  <si>
    <t>パネルW</t>
  </si>
  <si>
    <t>パネルH</t>
  </si>
  <si>
    <t>WK_製造依頼書建具</t>
  </si>
  <si>
    <t>品番1</t>
  </si>
  <si>
    <t>子扉</t>
  </si>
  <si>
    <t>追加</t>
  </si>
  <si>
    <t>工数</t>
  </si>
  <si>
    <t>標準ハンドル</t>
  </si>
  <si>
    <t>受注マスタSpec</t>
  </si>
  <si>
    <t>受注明細Style</t>
  </si>
  <si>
    <t>QRｺｰﾄﾞ</t>
  </si>
  <si>
    <t>QRｺｰﾄﾞ_2</t>
  </si>
  <si>
    <t>WK_製造依頼書建具_FullHeight</t>
  </si>
  <si>
    <t>1.12.3</t>
  </si>
  <si>
    <t>製造確定時納品日</t>
  </si>
  <si>
    <t>WK_部材展開</t>
  </si>
  <si>
    <t>特注品番</t>
  </si>
  <si>
    <t>品名</t>
  </si>
  <si>
    <t>同梱品</t>
  </si>
  <si>
    <t>部材数</t>
  </si>
  <si>
    <t>部材数合計</t>
  </si>
  <si>
    <t>キャンセル</t>
  </si>
  <si>
    <t>単位</t>
  </si>
  <si>
    <t>クレーム</t>
  </si>
  <si>
    <t>メーカーCD</t>
  </si>
  <si>
    <t>金物色</t>
  </si>
  <si>
    <t>日時</t>
  </si>
  <si>
    <t>上框高さ</t>
  </si>
  <si>
    <t>下框高さ</t>
  </si>
  <si>
    <t>中框種類</t>
  </si>
  <si>
    <t>上框溝巾</t>
  </si>
  <si>
    <t>中框溝巾</t>
  </si>
  <si>
    <t>下框溝巾</t>
  </si>
  <si>
    <t>折戸枠</t>
    <phoneticPr fontId="3"/>
  </si>
  <si>
    <t>物入開枠</t>
    <phoneticPr fontId="3"/>
  </si>
  <si>
    <t>2.4.0</t>
    <phoneticPr fontId="3"/>
  </si>
  <si>
    <t>工場名</t>
  </si>
  <si>
    <t>製造未登録数</t>
    <phoneticPr fontId="3"/>
  </si>
  <si>
    <t>保留数</t>
    <phoneticPr fontId="3"/>
  </si>
  <si>
    <t>登録済未指示数</t>
    <phoneticPr fontId="3"/>
  </si>
  <si>
    <t>工程指示済数</t>
    <phoneticPr fontId="3"/>
  </si>
  <si>
    <t>WK_アラジン用データ_製造日</t>
    <phoneticPr fontId="8"/>
  </si>
  <si>
    <t>部材名2</t>
  </si>
  <si>
    <t>工務店名</t>
  </si>
  <si>
    <t>設置部位</t>
  </si>
  <si>
    <t>取手情報</t>
  </si>
  <si>
    <t>ミラー情報</t>
  </si>
  <si>
    <t>スペック</t>
  </si>
  <si>
    <t>リバーシブル</t>
  </si>
  <si>
    <t>納品方法</t>
  </si>
  <si>
    <t>納品先</t>
  </si>
  <si>
    <t>納品先住所</t>
  </si>
  <si>
    <t>納品先担当者</t>
  </si>
  <si>
    <t>納品先TEL</t>
  </si>
  <si>
    <t>発注備考</t>
  </si>
  <si>
    <t>配送LT</t>
  </si>
  <si>
    <t>納品希望日</t>
  </si>
  <si>
    <t>DW</t>
    <phoneticPr fontId="3"/>
  </si>
  <si>
    <t>WK_AO資材納期情報</t>
  </si>
  <si>
    <t>№</t>
    <phoneticPr fontId="3"/>
  </si>
  <si>
    <t>①</t>
    <phoneticPr fontId="3"/>
  </si>
  <si>
    <t>⑤</t>
    <phoneticPr fontId="3"/>
  </si>
  <si>
    <t>商品コード</t>
  </si>
  <si>
    <t>部材名1</t>
  </si>
  <si>
    <t>製品名</t>
  </si>
  <si>
    <t>直送方法</t>
  </si>
  <si>
    <t>直送先</t>
  </si>
  <si>
    <t>直送先住所</t>
  </si>
  <si>
    <t>直送先担当者</t>
  </si>
  <si>
    <t>直送先TEL</t>
  </si>
  <si>
    <t>商品名1</t>
  </si>
  <si>
    <t>商品名2</t>
  </si>
  <si>
    <t>メーカー名</t>
  </si>
  <si>
    <t>ロケーション</t>
  </si>
  <si>
    <t>単位名</t>
  </si>
  <si>
    <t>発注日</t>
  </si>
  <si>
    <t>納期回答日</t>
  </si>
  <si>
    <t>ロットNO</t>
  </si>
  <si>
    <t>エラー内容</t>
  </si>
  <si>
    <t>入荷日</t>
  </si>
  <si>
    <t>部材コード</t>
  </si>
  <si>
    <t>WK_資材納期</t>
  </si>
  <si>
    <t>2.8.0 ADD</t>
  </si>
  <si>
    <t>ガラス入荷日</t>
  </si>
  <si>
    <t>ルーバー入荷日</t>
  </si>
  <si>
    <t>その他入荷日</t>
  </si>
  <si>
    <t>出荷金物入荷日</t>
  </si>
  <si>
    <t>資材納期</t>
  </si>
  <si>
    <t>ライン3数量</t>
  </si>
  <si>
    <t>2.10.0　追加（特注ライン台車数）</t>
    <rPh sb="7" eb="9">
      <t>ツイカ</t>
    </rPh>
    <rPh sb="10" eb="12">
      <t>トクチュウ</t>
    </rPh>
    <rPh sb="15" eb="17">
      <t>ダイシャ</t>
    </rPh>
    <rPh sb="17" eb="18">
      <t>スウ</t>
    </rPh>
    <phoneticPr fontId="3"/>
  </si>
  <si>
    <t>作業工数</t>
  </si>
  <si>
    <t>2.10.0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</si>
</sst>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name val="ＭＳ Ｐゴシック"/>
      <family val="3"/>
      <charset val="128"/>
    </font>
    <font>
      <sz val="10"/>
      <name val="ＭＳ ゴシック"/>
      <family val="3"/>
      <charset val="128"/>
    </font>
    <font>
      <sz val="11"/>
      <name val="ＭＳ ゴシック"/>
      <family val="3"/>
      <charset val="128"/>
    </font>
    <font>
      <sz val="6"/>
      <name val="ＭＳ Ｐゴシック"/>
      <family val="3"/>
      <charset val="128"/>
    </font>
    <font>
      <sz val="9"/>
      <color indexed="12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indexed="9"/>
      <name val="ＭＳ ゴシック"/>
      <family val="3"/>
      <charset val="128"/>
    </font>
    <font>
      <b/>
      <sz val="9"/>
      <color indexed="12"/>
      <name val="ＭＳ Ｐゴシック"/>
      <family val="3"/>
      <charset val="128"/>
    </font>
    <font>
      <sz val="6"/>
      <name val="メイリオ"/>
      <family val="2"/>
      <charset val="128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18">
    <border>
      <left/>
      <right/>
      <top/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71">
    <xf numFmtId="0" fontId="0" fillId="0" borderId="0" xfId="0"/>
    <xf numFmtId="0" fontId="6" fillId="0" borderId="0" xfId="0" applyFont="1" applyBorder="1" applyAlignment="1" applyProtection="1">
      <alignment horizontal="left"/>
      <protection hidden="1"/>
    </xf>
    <xf numFmtId="0" fontId="5" fillId="0" borderId="0" xfId="0" applyFont="1" applyBorder="1" applyAlignment="1">
      <alignment horizontal="left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5" fillId="0" borderId="0" xfId="0" applyFont="1" applyBorder="1"/>
    <xf numFmtId="0" fontId="5" fillId="0" borderId="0" xfId="0" quotePrefix="1" applyFont="1" applyFill="1" applyBorder="1" applyAlignment="1" applyProtection="1">
      <alignment horizontal="right" vertical="top"/>
      <protection locked="0"/>
    </xf>
    <xf numFmtId="0" fontId="5" fillId="0" borderId="0" xfId="2" applyFont="1" applyFill="1" applyBorder="1" applyAlignment="1" applyProtection="1">
      <alignment vertical="top" wrapText="1"/>
      <protection locked="0"/>
    </xf>
    <xf numFmtId="0" fontId="5" fillId="0" borderId="0" xfId="0" applyFont="1" applyFill="1" applyBorder="1" applyAlignment="1" applyProtection="1">
      <alignment horizontal="center" vertical="top"/>
      <protection locked="0"/>
    </xf>
    <xf numFmtId="0" fontId="5" fillId="0" borderId="0" xfId="0" applyFont="1" applyFill="1" applyBorder="1" applyAlignment="1" applyProtection="1">
      <alignment vertical="top" wrapText="1"/>
      <protection locked="0"/>
    </xf>
    <xf numFmtId="0" fontId="5" fillId="0" borderId="0" xfId="0" applyFont="1" applyBorder="1" applyAlignment="1" applyProtection="1">
      <alignment vertical="top"/>
      <protection locked="0"/>
    </xf>
    <xf numFmtId="0" fontId="5" fillId="0" borderId="0" xfId="0" applyFont="1" applyFill="1" applyBorder="1" applyAlignment="1" applyProtection="1">
      <alignment vertical="top"/>
      <protection locked="0"/>
    </xf>
    <xf numFmtId="0" fontId="5" fillId="0" borderId="0" xfId="2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center" vertical="top"/>
      <protection locked="0"/>
    </xf>
    <xf numFmtId="0" fontId="5" fillId="0" borderId="0" xfId="0" applyFont="1" applyBorder="1" applyAlignment="1" applyProtection="1">
      <alignment vertical="top" wrapText="1"/>
      <protection locked="0"/>
    </xf>
    <xf numFmtId="0" fontId="5" fillId="0" borderId="0" xfId="0" applyFont="1" applyBorder="1" applyProtection="1">
      <protection locked="0"/>
    </xf>
    <xf numFmtId="0" fontId="5" fillId="0" borderId="0" xfId="0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49" fontId="5" fillId="0" borderId="0" xfId="0" applyNumberFormat="1" applyFont="1" applyAlignment="1">
      <alignment horizontal="left"/>
    </xf>
    <xf numFmtId="1" fontId="5" fillId="0" borderId="0" xfId="0" applyNumberFormat="1" applyFont="1" applyAlignment="1"/>
    <xf numFmtId="0" fontId="5" fillId="0" borderId="0" xfId="0" applyNumberFormat="1" applyFont="1" applyAlignment="1"/>
    <xf numFmtId="49" fontId="4" fillId="2" borderId="4" xfId="0" applyNumberFormat="1" applyFont="1" applyFill="1" applyBorder="1" applyAlignment="1">
      <alignment horizontal="center"/>
    </xf>
    <xf numFmtId="1" fontId="4" fillId="2" borderId="4" xfId="0" applyNumberFormat="1" applyFont="1" applyFill="1" applyBorder="1" applyAlignment="1">
      <alignment horizontal="center"/>
    </xf>
    <xf numFmtId="0" fontId="5" fillId="0" borderId="5" xfId="2" applyFont="1" applyFill="1" applyBorder="1" applyAlignment="1" applyProtection="1">
      <alignment horizontal="left" vertical="top"/>
      <protection locked="0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5" fillId="0" borderId="0" xfId="0" applyFont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0" fontId="5" fillId="0" borderId="0" xfId="2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5" fillId="0" borderId="0" xfId="2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5" fillId="0" borderId="0" xfId="2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0" fontId="4" fillId="2" borderId="6" xfId="1" applyFont="1" applyFill="1" applyBorder="1" applyAlignment="1" applyProtection="1">
      <alignment horizontal="center" vertical="top"/>
      <protection hidden="1"/>
    </xf>
    <xf numFmtId="0" fontId="4" fillId="2" borderId="7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 wrapText="1"/>
      <protection hidden="1"/>
    </xf>
    <xf numFmtId="0" fontId="4" fillId="2" borderId="8" xfId="1" applyFont="1" applyFill="1" applyBorder="1" applyAlignment="1" applyProtection="1">
      <alignment horizontal="center" vertical="top" wrapText="1"/>
      <protection hidden="1"/>
    </xf>
    <xf numFmtId="0" fontId="5" fillId="0" borderId="0" xfId="0" applyFont="1" applyBorder="1" applyAlignment="1" applyProtection="1">
      <alignment horizontal="left" vertical="top" wrapText="1"/>
      <protection locked="0"/>
    </xf>
    <xf numFmtId="0" fontId="5" fillId="0" borderId="9" xfId="0" applyFont="1" applyBorder="1" applyAlignment="1" applyProtection="1">
      <alignment horizontal="left" vertical="top" wrapText="1"/>
      <protection locked="0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8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5" fillId="0" borderId="10" xfId="0" applyFont="1" applyBorder="1" applyAlignment="1" applyProtection="1">
      <alignment horizontal="left" vertical="top" indent="1"/>
      <protection locked="0"/>
    </xf>
    <xf numFmtId="0" fontId="5" fillId="0" borderId="0" xfId="0" applyFont="1" applyBorder="1" applyAlignment="1" applyProtection="1">
      <alignment horizontal="left" vertical="top" indent="1"/>
      <protection locked="0"/>
    </xf>
    <xf numFmtId="0" fontId="5" fillId="0" borderId="11" xfId="0" applyFont="1" applyBorder="1" applyAlignment="1" applyProtection="1">
      <alignment horizontal="left" vertical="top" indent="1"/>
      <protection locked="0"/>
    </xf>
    <xf numFmtId="0" fontId="5" fillId="0" borderId="12" xfId="0" applyFont="1" applyBorder="1" applyAlignment="1" applyProtection="1">
      <alignment horizontal="left" vertical="top" indent="1"/>
      <protection locked="0"/>
    </xf>
    <xf numFmtId="0" fontId="5" fillId="0" borderId="9" xfId="0" applyFont="1" applyBorder="1" applyAlignment="1" applyProtection="1">
      <alignment horizontal="left" vertical="top" indent="1"/>
      <protection locked="0"/>
    </xf>
    <xf numFmtId="0" fontId="5" fillId="0" borderId="13" xfId="0" applyFont="1" applyBorder="1" applyAlignment="1" applyProtection="1">
      <alignment horizontal="left" vertical="top" indent="1"/>
      <protection locked="0"/>
    </xf>
    <xf numFmtId="49" fontId="4" fillId="2" borderId="14" xfId="0" applyNumberFormat="1" applyFont="1" applyFill="1" applyBorder="1" applyAlignment="1" applyProtection="1">
      <alignment horizontal="center" vertical="center"/>
      <protection hidden="1"/>
    </xf>
    <xf numFmtId="49" fontId="4" fillId="2" borderId="15" xfId="0" applyNumberFormat="1" applyFont="1" applyFill="1" applyBorder="1" applyAlignment="1" applyProtection="1">
      <alignment horizontal="center" vertical="center"/>
      <protection hidden="1"/>
    </xf>
    <xf numFmtId="0" fontId="4" fillId="2" borderId="16" xfId="1" applyFont="1" applyFill="1" applyBorder="1" applyAlignment="1" applyProtection="1">
      <alignment horizontal="center" vertical="top" wrapText="1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16" xfId="0" applyFont="1" applyFill="1" applyBorder="1" applyAlignment="1" applyProtection="1">
      <alignment horizontal="center" vertical="top"/>
      <protection hidden="1"/>
    </xf>
    <xf numFmtId="0" fontId="4" fillId="2" borderId="17" xfId="0" applyFont="1" applyFill="1" applyBorder="1" applyAlignment="1" applyProtection="1">
      <alignment horizontal="center" vertical="top"/>
      <protection hidden="1"/>
    </xf>
    <xf numFmtId="0" fontId="4" fillId="2" borderId="9" xfId="1" applyFont="1" applyFill="1" applyBorder="1" applyAlignment="1" applyProtection="1">
      <alignment horizontal="center" vertical="top"/>
      <protection hidden="1"/>
    </xf>
    <xf numFmtId="0" fontId="4" fillId="2" borderId="13" xfId="1" applyFont="1" applyFill="1" applyBorder="1" applyAlignment="1" applyProtection="1">
      <alignment horizontal="center" vertical="top"/>
      <protection hidden="1"/>
    </xf>
    <xf numFmtId="0" fontId="5" fillId="0" borderId="0" xfId="2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</cellXfs>
  <cellStyles count="3">
    <cellStyle name="標準" xfId="0" builtinId="0"/>
    <cellStyle name="標準_Entity項目定義" xfId="1"/>
    <cellStyle name="標準_項目定義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sayama/Desktop/XACCDB&#12486;&#12540;&#12502;&#12523;&#23450;&#32681;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設定"/>
      <sheetName val="原紙"/>
      <sheetName val="T_Version管理"/>
      <sheetName val="T_出力レポート"/>
      <sheetName val="WK_AO資材納期情報"/>
      <sheetName val="WK_Calendar_業務"/>
      <sheetName val="WK_Calendar_工場"/>
      <sheetName val="WK_FullHeightライン指示"/>
      <sheetName val="WK_Status"/>
      <sheetName val="WK_SxL品番読替表"/>
      <sheetName val="WK_アラジン用データ_製造日"/>
      <sheetName val="WK_チェックリスト"/>
      <sheetName val="WK_フルハイトライン製造数邸別"/>
      <sheetName val="WK_ラベル"/>
      <sheetName val="WK_縁張りコード表"/>
      <sheetName val="WK_契約番号"/>
      <sheetName val="WK_建具製造リスト_FullHeight"/>
      <sheetName val="WK_工程表_建具"/>
      <sheetName val="WK_工程表データ"/>
      <sheetName val="WK_札データ"/>
      <sheetName val="WK_札データ_集計"/>
      <sheetName val="WK_札データ_備考"/>
      <sheetName val="WK_札台帳データ"/>
      <sheetName val="WK_資材納期"/>
      <sheetName val="WK_取付金物"/>
      <sheetName val="WK_上枠下地グループ集計"/>
      <sheetName val="WK_新ライン指示データ"/>
      <sheetName val="WK_製造依頼書建具"/>
      <sheetName val="WK_製造依頼書建具_FullHeight"/>
      <sheetName val="WK_製造指示"/>
      <sheetName val="WK_製造指示_Clone"/>
      <sheetName val="WK_製造日別集計データ"/>
      <sheetName val="WK_対象日付"/>
      <sheetName val="WK_台帳集計データ"/>
      <sheetName val="WK_追加製造"/>
      <sheetName val="WK_部材展開"/>
      <sheetName val="WK_枠出荷表"/>
      <sheetName val="WK_框材使用数"/>
    </sheetNames>
    <sheetDataSet>
      <sheetData sheetId="0">
        <row r="1">
          <cell r="A1" t="str">
            <v>属性</v>
          </cell>
          <cell r="J1" t="str">
            <v>値要求</v>
          </cell>
          <cell r="M1" t="str">
            <v>空文字</v>
          </cell>
        </row>
        <row r="2">
          <cell r="A2" t="str">
            <v>テキスト型</v>
          </cell>
          <cell r="J2" t="str">
            <v>-</v>
          </cell>
          <cell r="M2" t="str">
            <v>-</v>
          </cell>
        </row>
        <row r="3">
          <cell r="A3" t="str">
            <v>メモ型</v>
          </cell>
          <cell r="J3" t="str">
            <v>はい</v>
          </cell>
          <cell r="M3" t="str">
            <v>許可</v>
          </cell>
        </row>
        <row r="4">
          <cell r="A4" t="str">
            <v>バイト型</v>
          </cell>
          <cell r="J4" t="str">
            <v>いいえ</v>
          </cell>
          <cell r="M4" t="str">
            <v>不可</v>
          </cell>
        </row>
        <row r="5">
          <cell r="A5" t="str">
            <v>整数型</v>
          </cell>
        </row>
        <row r="6">
          <cell r="A6" t="str">
            <v>長整数型</v>
          </cell>
        </row>
        <row r="7">
          <cell r="A7" t="str">
            <v>単精度浮動小数点型</v>
          </cell>
        </row>
        <row r="8">
          <cell r="A8" t="str">
            <v>倍精度浮動小数点型</v>
          </cell>
        </row>
        <row r="9">
          <cell r="A9" t="str">
            <v>日付/時刻型</v>
          </cell>
        </row>
        <row r="10">
          <cell r="A10" t="str">
            <v>通貨型</v>
          </cell>
        </row>
        <row r="11">
          <cell r="A11" t="str">
            <v>ｵｰﾄﾅﾝﾊﾞｰ型</v>
          </cell>
        </row>
        <row r="12">
          <cell r="A12" t="str">
            <v>Yes/No型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3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5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7.x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8.xml"/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1.x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2.xml"/><Relationship Id="rId2" Type="http://schemas.openxmlformats.org/officeDocument/2006/relationships/vmlDrawing" Target="../drawings/vmlDrawing32.v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3.x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4.xml"/><Relationship Id="rId2" Type="http://schemas.openxmlformats.org/officeDocument/2006/relationships/vmlDrawing" Target="../drawings/vmlDrawing34.v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5.xml"/><Relationship Id="rId2" Type="http://schemas.openxmlformats.org/officeDocument/2006/relationships/vmlDrawing" Target="../drawings/vmlDrawing35.v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6.xml"/><Relationship Id="rId2" Type="http://schemas.openxmlformats.org/officeDocument/2006/relationships/vmlDrawing" Target="../drawings/vmlDrawing36.vml"/><Relationship Id="rId1" Type="http://schemas.openxmlformats.org/officeDocument/2006/relationships/printerSettings" Target="../printerSettings/printerSettings3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3"/>
  <sheetViews>
    <sheetView workbookViewId="0">
      <pane ySplit="1" topLeftCell="A2" activePane="bottomLeft" state="frozen"/>
      <selection pane="bottomLeft" activeCell="A2" sqref="A2"/>
    </sheetView>
  </sheetViews>
  <sheetFormatPr defaultRowHeight="11.25" x14ac:dyDescent="0.15"/>
  <cols>
    <col min="1" max="1" width="15.875" style="19" customWidth="1"/>
    <col min="2" max="5" width="5.125" style="19" customWidth="1"/>
    <col min="6" max="6" width="26.375" style="19" customWidth="1"/>
    <col min="7" max="7" width="9.625" style="19" customWidth="1"/>
    <col min="8" max="8" width="3.625" style="20" customWidth="1"/>
    <col min="9" max="9" width="3" style="19" customWidth="1"/>
    <col min="10" max="10" width="9" style="19"/>
    <col min="11" max="11" width="4.875" style="20" customWidth="1"/>
    <col min="12" max="12" width="2.875" style="21" customWidth="1"/>
    <col min="13" max="13" width="9" style="19"/>
    <col min="14" max="14" width="4.875" style="20" customWidth="1"/>
    <col min="15" max="16384" width="9" style="19"/>
  </cols>
  <sheetData>
    <row r="1" spans="1:17" x14ac:dyDescent="0.15">
      <c r="A1" s="22" t="s">
        <v>30</v>
      </c>
      <c r="B1" s="22" t="s">
        <v>51</v>
      </c>
      <c r="C1" s="22" t="s">
        <v>31</v>
      </c>
      <c r="D1" s="22" t="s">
        <v>18</v>
      </c>
      <c r="E1" s="22" t="s">
        <v>19</v>
      </c>
      <c r="F1" s="22" t="s">
        <v>52</v>
      </c>
      <c r="G1" s="22" t="s">
        <v>36</v>
      </c>
      <c r="H1" s="23" t="s">
        <v>35</v>
      </c>
      <c r="J1" s="22" t="s">
        <v>18</v>
      </c>
      <c r="K1" s="23" t="s">
        <v>35</v>
      </c>
      <c r="M1" s="22" t="s">
        <v>19</v>
      </c>
      <c r="N1" s="23" t="s">
        <v>35</v>
      </c>
    </row>
    <row r="2" spans="1:17" x14ac:dyDescent="0.15">
      <c r="A2" s="19" t="s">
        <v>11</v>
      </c>
      <c r="B2" s="19" t="s">
        <v>50</v>
      </c>
      <c r="G2" s="19" t="s">
        <v>37</v>
      </c>
      <c r="H2" s="20">
        <v>10</v>
      </c>
      <c r="J2" s="19" t="s">
        <v>25</v>
      </c>
      <c r="M2" s="19" t="s">
        <v>25</v>
      </c>
      <c r="P2" s="19" t="s">
        <v>299</v>
      </c>
      <c r="Q2" s="19" t="s">
        <v>300</v>
      </c>
    </row>
    <row r="3" spans="1:17" x14ac:dyDescent="0.15">
      <c r="A3" s="19" t="s">
        <v>12</v>
      </c>
      <c r="G3" s="19" t="s">
        <v>38</v>
      </c>
      <c r="H3" s="20">
        <v>12</v>
      </c>
      <c r="J3" s="19" t="s">
        <v>26</v>
      </c>
      <c r="K3" s="20" t="b">
        <v>1</v>
      </c>
      <c r="M3" s="19" t="s">
        <v>28</v>
      </c>
      <c r="N3" s="20" t="b">
        <v>1</v>
      </c>
    </row>
    <row r="4" spans="1:17" x14ac:dyDescent="0.15">
      <c r="A4" s="18" t="s">
        <v>20</v>
      </c>
      <c r="C4" s="19" t="s">
        <v>32</v>
      </c>
      <c r="E4" s="19" t="s">
        <v>33</v>
      </c>
      <c r="G4" s="19" t="s">
        <v>39</v>
      </c>
      <c r="H4" s="20">
        <v>2</v>
      </c>
      <c r="J4" s="19" t="s">
        <v>27</v>
      </c>
      <c r="K4" s="20" t="b">
        <v>0</v>
      </c>
      <c r="M4" s="19" t="s">
        <v>29</v>
      </c>
      <c r="N4" s="20" t="b">
        <v>0</v>
      </c>
    </row>
    <row r="5" spans="1:17" x14ac:dyDescent="0.15">
      <c r="A5" s="18" t="s">
        <v>21</v>
      </c>
      <c r="C5" s="19" t="s">
        <v>32</v>
      </c>
      <c r="E5" s="19" t="s">
        <v>33</v>
      </c>
      <c r="G5" s="19" t="s">
        <v>40</v>
      </c>
      <c r="H5" s="20">
        <v>3</v>
      </c>
    </row>
    <row r="6" spans="1:17" x14ac:dyDescent="0.15">
      <c r="A6" s="18" t="s">
        <v>22</v>
      </c>
      <c r="C6" s="19" t="s">
        <v>32</v>
      </c>
      <c r="E6" s="19" t="s">
        <v>33</v>
      </c>
      <c r="G6" s="19" t="s">
        <v>41</v>
      </c>
      <c r="H6" s="20">
        <v>4</v>
      </c>
    </row>
    <row r="7" spans="1:17" x14ac:dyDescent="0.15">
      <c r="A7" s="18" t="s">
        <v>23</v>
      </c>
      <c r="C7" s="19" t="s">
        <v>32</v>
      </c>
      <c r="E7" s="19" t="s">
        <v>33</v>
      </c>
      <c r="G7" s="19" t="s">
        <v>42</v>
      </c>
      <c r="H7" s="20">
        <v>6</v>
      </c>
    </row>
    <row r="8" spans="1:17" x14ac:dyDescent="0.15">
      <c r="A8" s="18" t="s">
        <v>24</v>
      </c>
      <c r="C8" s="19" t="s">
        <v>32</v>
      </c>
      <c r="E8" s="19" t="s">
        <v>33</v>
      </c>
      <c r="G8" s="19" t="s">
        <v>43</v>
      </c>
      <c r="H8" s="20">
        <v>7</v>
      </c>
    </row>
    <row r="9" spans="1:17" x14ac:dyDescent="0.15">
      <c r="A9" s="17" t="s">
        <v>13</v>
      </c>
      <c r="D9" s="19" t="s">
        <v>33</v>
      </c>
      <c r="E9" s="19" t="s">
        <v>33</v>
      </c>
      <c r="G9" s="19" t="s">
        <v>44</v>
      </c>
      <c r="H9" s="20">
        <v>8</v>
      </c>
    </row>
    <row r="10" spans="1:17" x14ac:dyDescent="0.15">
      <c r="A10" s="17" t="s">
        <v>14</v>
      </c>
      <c r="E10" s="19" t="s">
        <v>33</v>
      </c>
      <c r="G10" s="19" t="s">
        <v>45</v>
      </c>
      <c r="H10" s="20">
        <v>5</v>
      </c>
    </row>
    <row r="11" spans="1:17" x14ac:dyDescent="0.15">
      <c r="A11" s="17" t="s">
        <v>15</v>
      </c>
      <c r="D11" s="19" t="s">
        <v>33</v>
      </c>
      <c r="E11" s="19" t="s">
        <v>33</v>
      </c>
      <c r="F11" s="19" t="s">
        <v>34</v>
      </c>
      <c r="G11" s="19" t="s">
        <v>41</v>
      </c>
      <c r="H11" s="20">
        <v>4</v>
      </c>
    </row>
    <row r="12" spans="1:17" x14ac:dyDescent="0.15">
      <c r="A12" s="17" t="s">
        <v>16</v>
      </c>
      <c r="E12" s="19" t="s">
        <v>33</v>
      </c>
      <c r="G12" s="19" t="s">
        <v>46</v>
      </c>
      <c r="H12" s="20">
        <v>1</v>
      </c>
    </row>
    <row r="13" spans="1:17" x14ac:dyDescent="0.15">
      <c r="A13" s="17"/>
    </row>
  </sheetData>
  <phoneticPr fontId="3"/>
  <printOptions gridLines="1"/>
  <pageMargins left="0.75" right="0.75" top="1" bottom="1" header="0.51200000000000001" footer="0.51200000000000001"/>
  <pageSetup paperSize="9" orientation="landscape" verticalDpi="0" r:id="rId1"/>
  <headerFooter alignWithMargins="0">
    <oddHeader>&amp;C&amp;A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C23"/>
  <sheetViews>
    <sheetView tabSelected="1"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7" t="s">
        <v>3</v>
      </c>
      <c r="B1" s="68"/>
      <c r="C1" s="55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7"/>
      <c r="V1" s="61" t="s">
        <v>4</v>
      </c>
      <c r="W1" s="50"/>
      <c r="X1" s="50"/>
      <c r="Y1" s="50"/>
      <c r="Z1" s="50"/>
      <c r="AA1" s="50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6" t="s">
        <v>49</v>
      </c>
      <c r="B2" s="47"/>
      <c r="C2" s="58"/>
      <c r="D2" s="59"/>
      <c r="E2" s="60"/>
      <c r="F2" s="63" t="s">
        <v>5</v>
      </c>
      <c r="G2" s="65" t="s">
        <v>47</v>
      </c>
      <c r="H2" s="65"/>
      <c r="I2" s="65"/>
      <c r="J2" s="65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2"/>
      <c r="W2" s="51"/>
      <c r="X2" s="51"/>
      <c r="Y2" s="51"/>
      <c r="Z2" s="51"/>
      <c r="AA2" s="51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3" t="s">
        <v>48</v>
      </c>
      <c r="B3" s="52" t="s">
        <v>0</v>
      </c>
      <c r="C3" s="53"/>
      <c r="D3" s="54"/>
      <c r="E3" s="5" t="s">
        <v>53</v>
      </c>
      <c r="F3" s="64"/>
      <c r="G3" s="4" t="s">
        <v>6</v>
      </c>
      <c r="H3" s="4" t="s">
        <v>7</v>
      </c>
      <c r="I3" s="4" t="s">
        <v>8</v>
      </c>
      <c r="J3" s="4" t="s">
        <v>9</v>
      </c>
      <c r="K3" s="4" t="s">
        <v>10</v>
      </c>
      <c r="L3" s="4">
        <v>6</v>
      </c>
      <c r="M3" s="4">
        <v>7</v>
      </c>
      <c r="N3" s="4">
        <v>8</v>
      </c>
      <c r="O3" s="4">
        <v>9</v>
      </c>
      <c r="P3" s="4">
        <v>10</v>
      </c>
      <c r="Q3" s="4">
        <v>11</v>
      </c>
      <c r="R3" s="4">
        <v>12</v>
      </c>
      <c r="S3" s="4">
        <v>13</v>
      </c>
      <c r="T3" s="4">
        <v>14</v>
      </c>
      <c r="U3" s="4">
        <v>15</v>
      </c>
      <c r="V3" s="4" t="s">
        <v>1</v>
      </c>
      <c r="W3" s="4" t="s">
        <v>17</v>
      </c>
      <c r="X3" s="4" t="s">
        <v>18</v>
      </c>
      <c r="Y3" s="4" t="s">
        <v>19</v>
      </c>
      <c r="Z3" s="48" t="s">
        <v>2</v>
      </c>
      <c r="AA3" s="49"/>
    </row>
    <row r="4" spans="1:29" s="11" customFormat="1" ht="11.25" customHeight="1" x14ac:dyDescent="0.15">
      <c r="A4" s="7"/>
      <c r="B4" s="24"/>
      <c r="C4" s="13"/>
      <c r="D4" s="13"/>
      <c r="E4" s="8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/>
      <c r="W4" s="9"/>
      <c r="X4" s="9"/>
      <c r="Y4" s="9"/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2:B2"/>
    <mergeCell ref="Z3:AA3"/>
    <mergeCell ref="W1:AA2"/>
    <mergeCell ref="B3:D3"/>
    <mergeCell ref="C1:U1"/>
    <mergeCell ref="C2:E2"/>
    <mergeCell ref="V1:V2"/>
    <mergeCell ref="F2:F3"/>
    <mergeCell ref="G2:U2"/>
    <mergeCell ref="A1:B1"/>
  </mergeCells>
  <phoneticPr fontId="3"/>
  <dataValidations count="6">
    <dataValidation imeMode="on" allowBlank="1" showInputMessage="1" showErrorMessage="1" sqref="W1:AA2 Z4:AA65536 C3:D9 B9 B1:B4 B10:D65536 C1:U1"/>
    <dataValidation type="list" allowBlank="1" showInputMessage="1" showErrorMessage="1" sqref="V4:V65536">
      <formula1>INDIRECT($AB$1,FALSE)</formula1>
    </dataValidation>
    <dataValidation type="list" allowBlank="1" showInputMessage="1" showErrorMessage="1" sqref="Y4:Y65536">
      <formula1>INDIRECT($AC$2,FALSE)</formula1>
    </dataValidation>
    <dataValidation type="list" imeMode="on" allowBlank="1" showInputMessage="1" showErrorMessage="1" sqref="X4:X65536">
      <formula1>INDIRECT($AC$1,FALSE)</formula1>
    </dataValidation>
    <dataValidation type="whole" imeMode="off" operator="greaterThanOrEqual" allowBlank="1" showInputMessage="1" showErrorMessage="1" sqref="W3:W65536 F2:U65536">
      <formula1>1</formula1>
    </dataValidation>
    <dataValidation imeMode="off" allowBlank="1" showInputMessage="1" showErrorMessage="1" sqref="A1:A1048576 E3:E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7" t="s">
        <v>3</v>
      </c>
      <c r="B1" s="68"/>
      <c r="C1" s="55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7"/>
      <c r="V1" s="61" t="s">
        <v>4</v>
      </c>
      <c r="W1" s="50"/>
      <c r="X1" s="50"/>
      <c r="Y1" s="50"/>
      <c r="Z1" s="50"/>
      <c r="AA1" s="50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6" t="s">
        <v>49</v>
      </c>
      <c r="B2" s="47"/>
      <c r="C2" s="58" t="s">
        <v>54</v>
      </c>
      <c r="D2" s="59"/>
      <c r="E2" s="60"/>
      <c r="F2" s="63" t="s">
        <v>5</v>
      </c>
      <c r="G2" s="65" t="s">
        <v>47</v>
      </c>
      <c r="H2" s="65"/>
      <c r="I2" s="65"/>
      <c r="J2" s="65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2"/>
      <c r="W2" s="51"/>
      <c r="X2" s="51"/>
      <c r="Y2" s="51"/>
      <c r="Z2" s="51"/>
      <c r="AA2" s="51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2" t="s">
        <v>0</v>
      </c>
      <c r="C3" s="53"/>
      <c r="D3" s="54"/>
      <c r="E3" s="25" t="s">
        <v>53</v>
      </c>
      <c r="F3" s="64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8" t="s">
        <v>2</v>
      </c>
      <c r="AA3" s="49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55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59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61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62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63</v>
      </c>
      <c r="W7" s="9"/>
      <c r="X7" s="9" t="s">
        <v>64</v>
      </c>
      <c r="Y7" s="9" t="s">
        <v>64</v>
      </c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7" t="s">
        <v>3</v>
      </c>
      <c r="B1" s="68"/>
      <c r="C1" s="55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7"/>
      <c r="V1" s="61" t="s">
        <v>4</v>
      </c>
      <c r="W1" s="50"/>
      <c r="X1" s="50"/>
      <c r="Y1" s="50"/>
      <c r="Z1" s="50"/>
      <c r="AA1" s="50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6" t="s">
        <v>49</v>
      </c>
      <c r="B2" s="47"/>
      <c r="C2" s="58" t="s">
        <v>65</v>
      </c>
      <c r="D2" s="59"/>
      <c r="E2" s="60"/>
      <c r="F2" s="63" t="s">
        <v>5</v>
      </c>
      <c r="G2" s="65" t="s">
        <v>47</v>
      </c>
      <c r="H2" s="65"/>
      <c r="I2" s="65"/>
      <c r="J2" s="65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2"/>
      <c r="W2" s="51"/>
      <c r="X2" s="51"/>
      <c r="Y2" s="51"/>
      <c r="Z2" s="51"/>
      <c r="AA2" s="51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2" t="s">
        <v>0</v>
      </c>
      <c r="C3" s="53"/>
      <c r="D3" s="54"/>
      <c r="E3" s="25" t="s">
        <v>53</v>
      </c>
      <c r="F3" s="64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8" t="s">
        <v>2</v>
      </c>
      <c r="AA3" s="49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66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63</v>
      </c>
      <c r="W4" s="9"/>
      <c r="X4" s="9" t="s">
        <v>64</v>
      </c>
      <c r="Y4" s="9" t="s">
        <v>64</v>
      </c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7" t="s">
        <v>3</v>
      </c>
      <c r="B1" s="68"/>
      <c r="C1" s="55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7"/>
      <c r="V1" s="61" t="s">
        <v>4</v>
      </c>
      <c r="W1" s="50"/>
      <c r="X1" s="50"/>
      <c r="Y1" s="50"/>
      <c r="Z1" s="50"/>
      <c r="AA1" s="50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6" t="s">
        <v>49</v>
      </c>
      <c r="B2" s="47"/>
      <c r="C2" s="58" t="s">
        <v>67</v>
      </c>
      <c r="D2" s="59"/>
      <c r="E2" s="60"/>
      <c r="F2" s="63" t="s">
        <v>5</v>
      </c>
      <c r="G2" s="65" t="s">
        <v>47</v>
      </c>
      <c r="H2" s="65"/>
      <c r="I2" s="65"/>
      <c r="J2" s="65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2"/>
      <c r="W2" s="51"/>
      <c r="X2" s="51"/>
      <c r="Y2" s="51"/>
      <c r="Z2" s="51"/>
      <c r="AA2" s="51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2" t="s">
        <v>0</v>
      </c>
      <c r="C3" s="53"/>
      <c r="D3" s="54"/>
      <c r="E3" s="25" t="s">
        <v>53</v>
      </c>
      <c r="F3" s="64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8" t="s">
        <v>2</v>
      </c>
      <c r="AA3" s="49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66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63</v>
      </c>
      <c r="W4" s="9"/>
      <c r="X4" s="9" t="s">
        <v>64</v>
      </c>
      <c r="Y4" s="9" t="s">
        <v>64</v>
      </c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C2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7" t="s">
        <v>3</v>
      </c>
      <c r="B1" s="68"/>
      <c r="C1" s="55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7"/>
      <c r="V1" s="61" t="s">
        <v>4</v>
      </c>
      <c r="W1" s="50"/>
      <c r="X1" s="50"/>
      <c r="Y1" s="50"/>
      <c r="Z1" s="50"/>
      <c r="AA1" s="50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6" t="s">
        <v>49</v>
      </c>
      <c r="B2" s="47"/>
      <c r="C2" s="58" t="s">
        <v>236</v>
      </c>
      <c r="D2" s="59"/>
      <c r="E2" s="60"/>
      <c r="F2" s="63" t="s">
        <v>5</v>
      </c>
      <c r="G2" s="65" t="s">
        <v>47</v>
      </c>
      <c r="H2" s="65"/>
      <c r="I2" s="65"/>
      <c r="J2" s="65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2"/>
      <c r="W2" s="51"/>
      <c r="X2" s="51"/>
      <c r="Y2" s="51"/>
      <c r="Z2" s="51"/>
      <c r="AA2" s="51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2" t="s">
        <v>0</v>
      </c>
      <c r="C3" s="53"/>
      <c r="D3" s="54"/>
      <c r="E3" s="25" t="s">
        <v>53</v>
      </c>
      <c r="F3" s="64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8" t="s">
        <v>2</v>
      </c>
      <c r="AA3" s="49"/>
    </row>
    <row r="4" spans="1:29" s="11" customFormat="1" ht="11.25" customHeight="1" x14ac:dyDescent="0.15">
      <c r="A4" s="7">
        <f t="shared" ref="A4:A24" si="0">ROW()-4</f>
        <v>0</v>
      </c>
      <c r="B4" s="24"/>
      <c r="C4" s="13"/>
      <c r="D4" s="13"/>
      <c r="E4" s="8" t="s">
        <v>237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89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>
        <v>1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>
        <v>2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>
        <v>3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57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>
        <v>4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238</v>
      </c>
      <c r="W8" s="9"/>
      <c r="X8" s="9" t="s">
        <v>57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121</v>
      </c>
      <c r="F9" s="9">
        <v>5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238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239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156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240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241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242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243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244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63</v>
      </c>
      <c r="W16" s="14"/>
      <c r="X16" s="14" t="s">
        <v>64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245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246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247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63</v>
      </c>
      <c r="W19" s="14"/>
      <c r="X19" s="14" t="s">
        <v>64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248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249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63</v>
      </c>
      <c r="W21" s="14"/>
      <c r="X21" s="14" t="s">
        <v>64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250</v>
      </c>
      <c r="V22" s="28" t="s">
        <v>63</v>
      </c>
      <c r="X22" s="14" t="s">
        <v>64</v>
      </c>
      <c r="Y22" s="14" t="s">
        <v>64</v>
      </c>
    </row>
    <row r="23" spans="1:27" x14ac:dyDescent="0.15">
      <c r="A23" s="11">
        <f t="shared" si="0"/>
        <v>19</v>
      </c>
      <c r="E23" s="11" t="s">
        <v>251</v>
      </c>
      <c r="V23" s="17" t="s">
        <v>63</v>
      </c>
      <c r="X23" s="14" t="s">
        <v>64</v>
      </c>
      <c r="Y23" s="14" t="s">
        <v>64</v>
      </c>
    </row>
    <row r="24" spans="1:27" x14ac:dyDescent="0.15">
      <c r="A24" s="11">
        <f t="shared" si="0"/>
        <v>20</v>
      </c>
      <c r="E24" s="11" t="s">
        <v>252</v>
      </c>
      <c r="V24" s="28" t="s">
        <v>80</v>
      </c>
      <c r="X24" s="14" t="s">
        <v>60</v>
      </c>
      <c r="Y24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7" t="s">
        <v>3</v>
      </c>
      <c r="B1" s="68"/>
      <c r="C1" s="55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7"/>
      <c r="V1" s="61" t="s">
        <v>4</v>
      </c>
      <c r="W1" s="50"/>
      <c r="X1" s="50"/>
      <c r="Y1" s="50"/>
      <c r="Z1" s="50"/>
      <c r="AA1" s="50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6" t="s">
        <v>49</v>
      </c>
      <c r="B2" s="47"/>
      <c r="C2" s="58" t="s">
        <v>68</v>
      </c>
      <c r="D2" s="59"/>
      <c r="E2" s="60"/>
      <c r="F2" s="63" t="s">
        <v>5</v>
      </c>
      <c r="G2" s="65" t="s">
        <v>47</v>
      </c>
      <c r="H2" s="65"/>
      <c r="I2" s="65"/>
      <c r="J2" s="65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2"/>
      <c r="W2" s="51"/>
      <c r="X2" s="51"/>
      <c r="Y2" s="51"/>
      <c r="Z2" s="51"/>
      <c r="AA2" s="51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2" t="s">
        <v>0</v>
      </c>
      <c r="C3" s="53"/>
      <c r="D3" s="54"/>
      <c r="E3" s="25" t="s">
        <v>53</v>
      </c>
      <c r="F3" s="64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8" t="s">
        <v>2</v>
      </c>
      <c r="AA3" s="49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69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70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71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72</v>
      </c>
      <c r="W6" s="9"/>
      <c r="X6" s="9" t="s">
        <v>60</v>
      </c>
      <c r="Y6" s="9" t="s">
        <v>64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73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72</v>
      </c>
      <c r="W7" s="9"/>
      <c r="X7" s="9" t="s">
        <v>60</v>
      </c>
      <c r="Y7" s="9" t="s">
        <v>64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74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72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7" t="s">
        <v>3</v>
      </c>
      <c r="B1" s="68"/>
      <c r="C1" s="55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7"/>
      <c r="V1" s="61" t="s">
        <v>4</v>
      </c>
      <c r="W1" s="50"/>
      <c r="X1" s="50"/>
      <c r="Y1" s="50"/>
      <c r="Z1" s="50"/>
      <c r="AA1" s="50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6" t="s">
        <v>49</v>
      </c>
      <c r="B2" s="47"/>
      <c r="C2" s="58" t="s">
        <v>75</v>
      </c>
      <c r="D2" s="59"/>
      <c r="E2" s="60"/>
      <c r="F2" s="63" t="s">
        <v>5</v>
      </c>
      <c r="G2" s="65" t="s">
        <v>47</v>
      </c>
      <c r="H2" s="65"/>
      <c r="I2" s="65"/>
      <c r="J2" s="65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2"/>
      <c r="W2" s="51"/>
      <c r="X2" s="51"/>
      <c r="Y2" s="51"/>
      <c r="Z2" s="51"/>
      <c r="AA2" s="51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2" t="s">
        <v>0</v>
      </c>
      <c r="C3" s="53"/>
      <c r="D3" s="54"/>
      <c r="E3" s="25" t="s">
        <v>53</v>
      </c>
      <c r="F3" s="64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8" t="s">
        <v>2</v>
      </c>
      <c r="AA3" s="49"/>
    </row>
    <row r="4" spans="1:29" s="11" customFormat="1" ht="11.25" customHeight="1" x14ac:dyDescent="0.15">
      <c r="A4" s="7">
        <f t="shared" ref="A4:A15" si="0">ROW()-4</f>
        <v>0</v>
      </c>
      <c r="B4" s="24"/>
      <c r="C4" s="13"/>
      <c r="D4" s="13"/>
      <c r="E4" s="8" t="s">
        <v>76</v>
      </c>
      <c r="F4" s="9">
        <v>1</v>
      </c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>
        <v>2</v>
      </c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>
        <v>3</v>
      </c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79</v>
      </c>
      <c r="F7" s="9">
        <v>4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80</v>
      </c>
      <c r="W7" s="9"/>
      <c r="X7" s="9" t="s">
        <v>57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81</v>
      </c>
      <c r="F8" s="9">
        <v>5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4</v>
      </c>
      <c r="X8" s="9" t="s">
        <v>57</v>
      </c>
      <c r="Y8" s="9" t="s">
        <v>58</v>
      </c>
      <c r="Z8" s="10"/>
      <c r="AA8" s="10"/>
    </row>
    <row r="9" spans="1:29" s="11" customFormat="1" ht="22.5" x14ac:dyDescent="0.15">
      <c r="A9" s="12">
        <f t="shared" si="0"/>
        <v>5</v>
      </c>
      <c r="B9" s="13"/>
      <c r="C9" s="13"/>
      <c r="D9" s="13"/>
      <c r="E9" s="8" t="s">
        <v>82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83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6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84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10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85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63</v>
      </c>
      <c r="W12" s="9"/>
      <c r="X12" s="9" t="s">
        <v>64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86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87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10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88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89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AC26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7" t="s">
        <v>3</v>
      </c>
      <c r="B1" s="68"/>
      <c r="C1" s="55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7"/>
      <c r="V1" s="61" t="s">
        <v>4</v>
      </c>
      <c r="W1" s="50"/>
      <c r="X1" s="50"/>
      <c r="Y1" s="50"/>
      <c r="Z1" s="50"/>
      <c r="AA1" s="50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6" t="s">
        <v>49</v>
      </c>
      <c r="B2" s="47"/>
      <c r="C2" s="58" t="s">
        <v>176</v>
      </c>
      <c r="D2" s="59"/>
      <c r="E2" s="60"/>
      <c r="F2" s="63" t="s">
        <v>5</v>
      </c>
      <c r="G2" s="65" t="s">
        <v>47</v>
      </c>
      <c r="H2" s="65"/>
      <c r="I2" s="65"/>
      <c r="J2" s="65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2"/>
      <c r="W2" s="51"/>
      <c r="X2" s="51"/>
      <c r="Y2" s="51"/>
      <c r="Z2" s="51"/>
      <c r="AA2" s="51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2" t="s">
        <v>0</v>
      </c>
      <c r="C3" s="53"/>
      <c r="D3" s="54"/>
      <c r="E3" s="25" t="s">
        <v>53</v>
      </c>
      <c r="F3" s="64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8" t="s">
        <v>2</v>
      </c>
      <c r="AA3" s="49"/>
    </row>
    <row r="4" spans="1:29" s="11" customFormat="1" ht="11.25" customHeight="1" x14ac:dyDescent="0.15">
      <c r="A4" s="7">
        <f t="shared" ref="A4:A26" si="0">ROW()-4</f>
        <v>0</v>
      </c>
      <c r="B4" s="24"/>
      <c r="C4" s="13"/>
      <c r="D4" s="13"/>
      <c r="E4" s="8" t="s">
        <v>92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>
        <v>1</v>
      </c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>
        <v>1</v>
      </c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91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79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98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63</v>
      </c>
      <c r="W10" s="9"/>
      <c r="X10" s="9" t="s">
        <v>64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69" t="s">
        <v>484</v>
      </c>
      <c r="C11" s="69"/>
      <c r="D11" s="69"/>
      <c r="E11" s="8" t="s">
        <v>228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158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63</v>
      </c>
      <c r="W12" s="9"/>
      <c r="X12" s="9" t="s">
        <v>64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177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178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255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179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50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69" t="s">
        <v>484</v>
      </c>
      <c r="C16" s="69"/>
      <c r="D16" s="69"/>
      <c r="E16" s="11" t="s">
        <v>167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10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128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485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112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255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168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255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169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56</v>
      </c>
      <c r="W21" s="14">
        <v>255</v>
      </c>
      <c r="X21" s="14" t="s">
        <v>60</v>
      </c>
      <c r="Y21" s="14" t="s">
        <v>58</v>
      </c>
      <c r="Z21" s="15"/>
      <c r="AA21" s="15"/>
    </row>
    <row r="22" spans="1:27" x14ac:dyDescent="0.15">
      <c r="A22" s="11">
        <f t="shared" si="0"/>
        <v>18</v>
      </c>
      <c r="E22" s="11" t="s">
        <v>170</v>
      </c>
      <c r="V22" s="28" t="s">
        <v>56</v>
      </c>
      <c r="W22" s="14">
        <v>255</v>
      </c>
      <c r="X22" s="14" t="s">
        <v>60</v>
      </c>
      <c r="Y22" s="14" t="s">
        <v>58</v>
      </c>
    </row>
    <row r="23" spans="1:27" x14ac:dyDescent="0.15">
      <c r="A23" s="11">
        <f t="shared" si="0"/>
        <v>19</v>
      </c>
      <c r="E23" s="11" t="s">
        <v>171</v>
      </c>
      <c r="V23" s="17" t="s">
        <v>56</v>
      </c>
      <c r="W23" s="14">
        <v>255</v>
      </c>
      <c r="X23" s="14" t="s">
        <v>60</v>
      </c>
      <c r="Y23" s="14" t="s">
        <v>58</v>
      </c>
    </row>
    <row r="24" spans="1:27" x14ac:dyDescent="0.15">
      <c r="A24" s="11">
        <f t="shared" si="0"/>
        <v>20</v>
      </c>
      <c r="E24" s="11" t="s">
        <v>172</v>
      </c>
      <c r="V24" s="28" t="s">
        <v>56</v>
      </c>
      <c r="W24" s="14">
        <v>255</v>
      </c>
      <c r="X24" s="14" t="s">
        <v>60</v>
      </c>
      <c r="Y24" s="14" t="s">
        <v>58</v>
      </c>
    </row>
    <row r="25" spans="1:27" x14ac:dyDescent="0.15">
      <c r="A25" s="11">
        <f t="shared" si="0"/>
        <v>21</v>
      </c>
      <c r="E25" s="11" t="s">
        <v>173</v>
      </c>
      <c r="V25" s="28" t="s">
        <v>56</v>
      </c>
      <c r="W25" s="14">
        <v>255</v>
      </c>
      <c r="X25" s="14" t="s">
        <v>60</v>
      </c>
      <c r="Y25" s="14" t="s">
        <v>58</v>
      </c>
    </row>
    <row r="26" spans="1:27" x14ac:dyDescent="0.15">
      <c r="A26" s="11">
        <f t="shared" si="0"/>
        <v>22</v>
      </c>
      <c r="E26" s="11" t="s">
        <v>180</v>
      </c>
      <c r="V26" s="28" t="s">
        <v>56</v>
      </c>
      <c r="W26" s="14">
        <v>255</v>
      </c>
      <c r="X26" s="14" t="s">
        <v>60</v>
      </c>
      <c r="Y26" s="14" t="s">
        <v>58</v>
      </c>
    </row>
  </sheetData>
  <mergeCells count="12">
    <mergeCell ref="B11:D11"/>
    <mergeCell ref="B16:D16"/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C1:U1 B10:B65536 C10:D10 C12:D15 C17:D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AC37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7" t="s">
        <v>3</v>
      </c>
      <c r="B1" s="68"/>
      <c r="C1" s="55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7"/>
      <c r="V1" s="61" t="s">
        <v>4</v>
      </c>
      <c r="W1" s="50"/>
      <c r="X1" s="50"/>
      <c r="Y1" s="50"/>
      <c r="Z1" s="50"/>
      <c r="AA1" s="50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6" t="s">
        <v>49</v>
      </c>
      <c r="B2" s="47"/>
      <c r="C2" s="58" t="s">
        <v>90</v>
      </c>
      <c r="D2" s="59"/>
      <c r="E2" s="60"/>
      <c r="F2" s="63" t="s">
        <v>5</v>
      </c>
      <c r="G2" s="65" t="s">
        <v>47</v>
      </c>
      <c r="H2" s="65"/>
      <c r="I2" s="65"/>
      <c r="J2" s="65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2"/>
      <c r="W2" s="51"/>
      <c r="X2" s="51"/>
      <c r="Y2" s="51"/>
      <c r="Z2" s="51"/>
      <c r="AA2" s="51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2" t="s">
        <v>0</v>
      </c>
      <c r="C3" s="53"/>
      <c r="D3" s="54"/>
      <c r="E3" s="25" t="s">
        <v>53</v>
      </c>
      <c r="F3" s="64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8" t="s">
        <v>2</v>
      </c>
      <c r="AA3" s="49"/>
    </row>
    <row r="4" spans="1:29" s="11" customFormat="1" ht="11.25" customHeight="1" x14ac:dyDescent="0.15">
      <c r="A4" s="7">
        <f t="shared" ref="A4:A37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95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96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86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97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89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98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63</v>
      </c>
      <c r="W16" s="14"/>
      <c r="X16" s="14" t="s">
        <v>64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99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100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101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102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103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104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105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106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107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108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109</v>
      </c>
      <c r="V27" s="2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110</v>
      </c>
      <c r="V28" s="28" t="s">
        <v>80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111</v>
      </c>
      <c r="V29" s="28" t="s">
        <v>80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112</v>
      </c>
      <c r="V30" s="28" t="s">
        <v>56</v>
      </c>
      <c r="W30" s="14">
        <v>255</v>
      </c>
      <c r="X30" s="14" t="s">
        <v>60</v>
      </c>
      <c r="Y30" s="14" t="s">
        <v>58</v>
      </c>
    </row>
    <row r="31" spans="1:27" x14ac:dyDescent="0.15">
      <c r="A31" s="11">
        <f t="shared" si="0"/>
        <v>27</v>
      </c>
      <c r="E31" s="11" t="s">
        <v>87</v>
      </c>
      <c r="V31" s="28" t="s">
        <v>56</v>
      </c>
      <c r="W31" s="14">
        <v>255</v>
      </c>
      <c r="X31" s="14" t="s">
        <v>60</v>
      </c>
      <c r="Y31" s="14" t="s">
        <v>58</v>
      </c>
    </row>
    <row r="32" spans="1:27" x14ac:dyDescent="0.15">
      <c r="A32" s="11">
        <f t="shared" si="0"/>
        <v>28</v>
      </c>
      <c r="E32" s="11" t="s">
        <v>167</v>
      </c>
      <c r="V32" s="28" t="s">
        <v>56</v>
      </c>
      <c r="W32" s="14">
        <v>255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B33" s="70" t="s">
        <v>253</v>
      </c>
      <c r="C33" s="70"/>
      <c r="D33" s="70"/>
      <c r="E33" s="11" t="s">
        <v>175</v>
      </c>
      <c r="V33" s="28" t="s">
        <v>80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B34" s="50" t="s">
        <v>723</v>
      </c>
      <c r="C34" s="43"/>
      <c r="D34" s="43"/>
      <c r="E34" s="11" t="s">
        <v>724</v>
      </c>
      <c r="V34" s="43" t="s">
        <v>63</v>
      </c>
      <c r="X34" s="14" t="s">
        <v>64</v>
      </c>
      <c r="Y34" s="14" t="s">
        <v>64</v>
      </c>
    </row>
    <row r="35" spans="1:25" x14ac:dyDescent="0.15">
      <c r="A35" s="11">
        <f t="shared" si="0"/>
        <v>31</v>
      </c>
      <c r="B35" s="50"/>
      <c r="C35" s="43"/>
      <c r="D35" s="43"/>
      <c r="E35" s="11" t="s">
        <v>725</v>
      </c>
      <c r="V35" s="43" t="s">
        <v>63</v>
      </c>
      <c r="X35" s="14" t="s">
        <v>64</v>
      </c>
      <c r="Y35" s="14" t="s">
        <v>64</v>
      </c>
    </row>
    <row r="36" spans="1:25" x14ac:dyDescent="0.15">
      <c r="A36" s="11">
        <f t="shared" si="0"/>
        <v>32</v>
      </c>
      <c r="B36" s="50"/>
      <c r="C36" s="43"/>
      <c r="D36" s="43"/>
      <c r="E36" s="11" t="s">
        <v>726</v>
      </c>
      <c r="V36" s="43" t="s">
        <v>63</v>
      </c>
      <c r="X36" s="14" t="s">
        <v>64</v>
      </c>
      <c r="Y36" s="14" t="s">
        <v>64</v>
      </c>
    </row>
    <row r="37" spans="1:25" x14ac:dyDescent="0.15">
      <c r="A37" s="11">
        <f t="shared" si="0"/>
        <v>33</v>
      </c>
      <c r="B37" s="50"/>
      <c r="C37" s="43"/>
      <c r="D37" s="43"/>
      <c r="E37" s="11" t="s">
        <v>727</v>
      </c>
      <c r="V37" s="43" t="s">
        <v>63</v>
      </c>
      <c r="X37" s="14" t="s">
        <v>64</v>
      </c>
      <c r="Y37" s="14" t="s">
        <v>64</v>
      </c>
    </row>
  </sheetData>
  <mergeCells count="12">
    <mergeCell ref="B34:B37"/>
    <mergeCell ref="B33:D33"/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36 A1:A1048576"/>
    <dataValidation type="whole" imeMode="off" operator="greaterThanOrEqual" allowBlank="1" showInputMessage="1" showErrorMessage="1" sqref="F2:U65536 W3:W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B1:B4 C1:U1 C34:D65536 C3:D32 B9:B34 B38:B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AC4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7" t="s">
        <v>3</v>
      </c>
      <c r="B1" s="68"/>
      <c r="C1" s="55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7"/>
      <c r="V1" s="61" t="s">
        <v>4</v>
      </c>
      <c r="W1" s="50"/>
      <c r="X1" s="50"/>
      <c r="Y1" s="50"/>
      <c r="Z1" s="50"/>
      <c r="AA1" s="50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6" t="s">
        <v>49</v>
      </c>
      <c r="B2" s="47"/>
      <c r="C2" s="58" t="s">
        <v>113</v>
      </c>
      <c r="D2" s="59"/>
      <c r="E2" s="60"/>
      <c r="F2" s="63" t="s">
        <v>5</v>
      </c>
      <c r="G2" s="65" t="s">
        <v>47</v>
      </c>
      <c r="H2" s="65"/>
      <c r="I2" s="65"/>
      <c r="J2" s="65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2"/>
      <c r="W2" s="51"/>
      <c r="X2" s="51"/>
      <c r="Y2" s="51"/>
      <c r="Z2" s="51"/>
      <c r="AA2" s="51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2" t="s">
        <v>0</v>
      </c>
      <c r="C3" s="53"/>
      <c r="D3" s="54"/>
      <c r="E3" s="25" t="s">
        <v>53</v>
      </c>
      <c r="F3" s="64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8" t="s">
        <v>2</v>
      </c>
      <c r="AA3" s="49"/>
    </row>
    <row r="4" spans="1:29" s="11" customFormat="1" ht="11.25" customHeight="1" x14ac:dyDescent="0.15">
      <c r="A4" s="7">
        <f t="shared" ref="A4:A44" si="0">ROW()-4</f>
        <v>0</v>
      </c>
      <c r="B4" s="24"/>
      <c r="C4" s="13"/>
      <c r="D4" s="13"/>
      <c r="E4" s="8" t="s">
        <v>76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97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89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110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112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96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98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86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63</v>
      </c>
      <c r="W16" s="14"/>
      <c r="X16" s="14" t="s">
        <v>64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99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72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100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72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101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72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102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72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103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72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115</v>
      </c>
      <c r="V22" s="28" t="s">
        <v>72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104</v>
      </c>
      <c r="V23" s="17" t="s">
        <v>72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105</v>
      </c>
      <c r="V24" s="28" t="s">
        <v>72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116</v>
      </c>
      <c r="V25" s="28" t="s">
        <v>72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106</v>
      </c>
      <c r="V26" s="28" t="s">
        <v>72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107</v>
      </c>
      <c r="V27" s="28" t="s">
        <v>72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108</v>
      </c>
      <c r="V28" s="28" t="s">
        <v>72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109</v>
      </c>
      <c r="V29" s="28" t="s">
        <v>72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175</v>
      </c>
      <c r="V30" s="28" t="s">
        <v>72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117</v>
      </c>
      <c r="V31" s="28" t="s">
        <v>72</v>
      </c>
      <c r="X31" s="14" t="s">
        <v>60</v>
      </c>
      <c r="Y31" s="14" t="s">
        <v>64</v>
      </c>
    </row>
    <row r="32" spans="1:27" x14ac:dyDescent="0.15">
      <c r="A32" s="11">
        <f t="shared" si="0"/>
        <v>28</v>
      </c>
      <c r="E32" s="11" t="s">
        <v>118</v>
      </c>
      <c r="V32" s="28" t="s">
        <v>80</v>
      </c>
      <c r="X32" s="14" t="s">
        <v>60</v>
      </c>
      <c r="Y32" s="14" t="s">
        <v>64</v>
      </c>
    </row>
    <row r="33" spans="1:25" x14ac:dyDescent="0.15">
      <c r="A33" s="11">
        <f t="shared" si="0"/>
        <v>29</v>
      </c>
      <c r="E33" s="11" t="s">
        <v>254</v>
      </c>
      <c r="V33" s="28" t="s">
        <v>63</v>
      </c>
      <c r="X33" s="14" t="s">
        <v>64</v>
      </c>
      <c r="Y33" s="14" t="s">
        <v>64</v>
      </c>
    </row>
    <row r="34" spans="1:25" x14ac:dyDescent="0.15">
      <c r="A34" s="11">
        <f t="shared" si="0"/>
        <v>30</v>
      </c>
      <c r="E34" s="11" t="s">
        <v>486</v>
      </c>
      <c r="V34" s="28" t="s">
        <v>72</v>
      </c>
      <c r="X34" s="14" t="s">
        <v>60</v>
      </c>
      <c r="Y34" s="14" t="s">
        <v>64</v>
      </c>
    </row>
    <row r="35" spans="1:25" x14ac:dyDescent="0.15">
      <c r="A35" s="11">
        <f t="shared" si="0"/>
        <v>31</v>
      </c>
      <c r="E35" s="11" t="s">
        <v>487</v>
      </c>
      <c r="V35" s="28" t="s">
        <v>80</v>
      </c>
      <c r="X35" s="14" t="s">
        <v>60</v>
      </c>
      <c r="Y35" s="14" t="s">
        <v>64</v>
      </c>
    </row>
    <row r="36" spans="1:25" x14ac:dyDescent="0.15">
      <c r="A36" s="11">
        <f t="shared" si="0"/>
        <v>32</v>
      </c>
      <c r="E36" s="11" t="s">
        <v>678</v>
      </c>
      <c r="V36" s="36" t="s">
        <v>80</v>
      </c>
      <c r="X36" s="14" t="s">
        <v>60</v>
      </c>
      <c r="Y36" s="14" t="s">
        <v>64</v>
      </c>
    </row>
    <row r="37" spans="1:25" x14ac:dyDescent="0.15">
      <c r="A37" s="11">
        <f t="shared" si="0"/>
        <v>33</v>
      </c>
      <c r="E37" s="11" t="s">
        <v>679</v>
      </c>
      <c r="V37" s="36" t="s">
        <v>80</v>
      </c>
      <c r="X37" s="14" t="s">
        <v>60</v>
      </c>
      <c r="Y37" s="14" t="s">
        <v>64</v>
      </c>
    </row>
    <row r="38" spans="1:25" x14ac:dyDescent="0.15">
      <c r="A38" s="11">
        <f t="shared" si="0"/>
        <v>34</v>
      </c>
      <c r="E38" s="11" t="s">
        <v>680</v>
      </c>
      <c r="V38" s="36" t="s">
        <v>80</v>
      </c>
      <c r="X38" s="14" t="s">
        <v>60</v>
      </c>
      <c r="Y38" s="14" t="s">
        <v>64</v>
      </c>
    </row>
    <row r="39" spans="1:25" x14ac:dyDescent="0.15">
      <c r="A39" s="11">
        <f t="shared" si="0"/>
        <v>35</v>
      </c>
      <c r="E39" s="11" t="s">
        <v>681</v>
      </c>
      <c r="V39" s="36" t="s">
        <v>80</v>
      </c>
      <c r="X39" s="14" t="s">
        <v>60</v>
      </c>
      <c r="Y39" s="14" t="s">
        <v>64</v>
      </c>
    </row>
    <row r="40" spans="1:25" x14ac:dyDescent="0.15">
      <c r="A40" s="11">
        <f t="shared" si="0"/>
        <v>36</v>
      </c>
      <c r="B40" s="50" t="s">
        <v>723</v>
      </c>
      <c r="C40" s="43"/>
      <c r="D40" s="43"/>
      <c r="E40" s="11" t="s">
        <v>724</v>
      </c>
      <c r="V40" s="43" t="s">
        <v>63</v>
      </c>
      <c r="X40" s="14" t="s">
        <v>64</v>
      </c>
      <c r="Y40" s="14" t="s">
        <v>64</v>
      </c>
    </row>
    <row r="41" spans="1:25" x14ac:dyDescent="0.15">
      <c r="A41" s="11">
        <f t="shared" si="0"/>
        <v>37</v>
      </c>
      <c r="B41" s="50"/>
      <c r="C41" s="43"/>
      <c r="D41" s="43"/>
      <c r="E41" s="11" t="s">
        <v>725</v>
      </c>
      <c r="V41" s="43" t="s">
        <v>63</v>
      </c>
      <c r="X41" s="14" t="s">
        <v>64</v>
      </c>
      <c r="Y41" s="14" t="s">
        <v>64</v>
      </c>
    </row>
    <row r="42" spans="1:25" x14ac:dyDescent="0.15">
      <c r="A42" s="11">
        <f t="shared" si="0"/>
        <v>38</v>
      </c>
      <c r="B42" s="50"/>
      <c r="C42" s="43"/>
      <c r="D42" s="43"/>
      <c r="E42" s="11" t="s">
        <v>726</v>
      </c>
      <c r="V42" s="43" t="s">
        <v>63</v>
      </c>
      <c r="X42" s="14" t="s">
        <v>64</v>
      </c>
      <c r="Y42" s="14" t="s">
        <v>64</v>
      </c>
    </row>
    <row r="43" spans="1:25" x14ac:dyDescent="0.15">
      <c r="A43" s="11">
        <f t="shared" si="0"/>
        <v>39</v>
      </c>
      <c r="B43" s="50"/>
      <c r="C43" s="43"/>
      <c r="D43" s="43"/>
      <c r="E43" s="11" t="s">
        <v>727</v>
      </c>
      <c r="V43" s="43" t="s">
        <v>63</v>
      </c>
      <c r="X43" s="14" t="s">
        <v>64</v>
      </c>
      <c r="Y43" s="14" t="s">
        <v>64</v>
      </c>
    </row>
    <row r="44" spans="1:25" x14ac:dyDescent="0.15">
      <c r="A44" s="11">
        <f t="shared" si="0"/>
        <v>40</v>
      </c>
      <c r="B44" s="50"/>
      <c r="C44" s="43"/>
      <c r="D44" s="43"/>
      <c r="E44" s="11" t="s">
        <v>728</v>
      </c>
      <c r="V44" s="43" t="s">
        <v>56</v>
      </c>
      <c r="W44" s="14">
        <v>100</v>
      </c>
      <c r="X44" s="14" t="s">
        <v>60</v>
      </c>
      <c r="Y44" s="14" t="s">
        <v>58</v>
      </c>
    </row>
  </sheetData>
  <mergeCells count="11">
    <mergeCell ref="B40:B44"/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36 A1:A1048576"/>
    <dataValidation type="whole" imeMode="off" operator="greaterThanOrEqual" allowBlank="1" showInputMessage="1" showErrorMessage="1" sqref="F2:U65536 W3:W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C1:U1 B10:D39 B45:D65536 C40:D44 B40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7" t="s">
        <v>3</v>
      </c>
      <c r="B1" s="68"/>
      <c r="C1" s="55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7"/>
      <c r="V1" s="61" t="s">
        <v>4</v>
      </c>
      <c r="W1" s="50"/>
      <c r="X1" s="50"/>
      <c r="Y1" s="50"/>
      <c r="Z1" s="50"/>
      <c r="AA1" s="50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6" t="s">
        <v>49</v>
      </c>
      <c r="B2" s="47"/>
      <c r="C2" s="58" t="s">
        <v>255</v>
      </c>
      <c r="D2" s="59"/>
      <c r="E2" s="60"/>
      <c r="F2" s="63" t="s">
        <v>5</v>
      </c>
      <c r="G2" s="65" t="s">
        <v>47</v>
      </c>
      <c r="H2" s="65"/>
      <c r="I2" s="65"/>
      <c r="J2" s="65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2"/>
      <c r="W2" s="51"/>
      <c r="X2" s="51"/>
      <c r="Y2" s="51"/>
      <c r="Z2" s="51"/>
      <c r="AA2" s="51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2" t="s">
        <v>0</v>
      </c>
      <c r="C3" s="53"/>
      <c r="D3" s="54"/>
      <c r="E3" s="25" t="s">
        <v>53</v>
      </c>
      <c r="F3" s="64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8" t="s">
        <v>2</v>
      </c>
      <c r="AA3" s="49"/>
    </row>
    <row r="4" spans="1:29" s="11" customFormat="1" ht="11.25" customHeight="1" x14ac:dyDescent="0.15">
      <c r="A4" s="7">
        <f t="shared" ref="A4:A13" si="0">ROW()-4</f>
        <v>0</v>
      </c>
      <c r="B4" s="24"/>
      <c r="C4" s="13"/>
      <c r="D4" s="13"/>
      <c r="E4" s="8" t="s">
        <v>76</v>
      </c>
      <c r="F4" s="9">
        <v>1</v>
      </c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>
        <v>2</v>
      </c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>
        <v>3</v>
      </c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168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169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170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171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172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173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174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AC48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7" t="s">
        <v>3</v>
      </c>
      <c r="B1" s="68"/>
      <c r="C1" s="55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7"/>
      <c r="V1" s="61" t="s">
        <v>4</v>
      </c>
      <c r="W1" s="50"/>
      <c r="X1" s="50"/>
      <c r="Y1" s="50"/>
      <c r="Z1" s="50"/>
      <c r="AA1" s="50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6" t="s">
        <v>49</v>
      </c>
      <c r="B2" s="47"/>
      <c r="C2" s="58" t="s">
        <v>181</v>
      </c>
      <c r="D2" s="59"/>
      <c r="E2" s="60"/>
      <c r="F2" s="63" t="s">
        <v>5</v>
      </c>
      <c r="G2" s="65" t="s">
        <v>47</v>
      </c>
      <c r="H2" s="65"/>
      <c r="I2" s="65"/>
      <c r="J2" s="65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2"/>
      <c r="W2" s="51"/>
      <c r="X2" s="51"/>
      <c r="Y2" s="51"/>
      <c r="Z2" s="51"/>
      <c r="AA2" s="51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2" t="s">
        <v>0</v>
      </c>
      <c r="C3" s="53"/>
      <c r="D3" s="54"/>
      <c r="E3" s="25" t="s">
        <v>53</v>
      </c>
      <c r="F3" s="64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8" t="s">
        <v>2</v>
      </c>
      <c r="AA3" s="49"/>
    </row>
    <row r="4" spans="1:29" s="11" customFormat="1" ht="11.25" customHeight="1" x14ac:dyDescent="0.15">
      <c r="A4" s="7">
        <f t="shared" ref="A4:A48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255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182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183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184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63</v>
      </c>
      <c r="W10" s="9"/>
      <c r="X10" s="9" t="s">
        <v>64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185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186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63</v>
      </c>
      <c r="W12" s="9"/>
      <c r="X12" s="9" t="s">
        <v>64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98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187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188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189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255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79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156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56</v>
      </c>
      <c r="W18" s="14">
        <v>255</v>
      </c>
      <c r="X18" s="14" t="s">
        <v>60</v>
      </c>
      <c r="Y18" s="14" t="s">
        <v>58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190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191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192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193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194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195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106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100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196</v>
      </c>
      <c r="V27" s="2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197</v>
      </c>
      <c r="V28" s="28" t="s">
        <v>80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198</v>
      </c>
      <c r="V29" s="28" t="s">
        <v>80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199</v>
      </c>
      <c r="V30" s="28" t="s">
        <v>80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200</v>
      </c>
      <c r="V31" s="28" t="s">
        <v>80</v>
      </c>
      <c r="X31" s="14" t="s">
        <v>60</v>
      </c>
      <c r="Y31" s="14" t="s">
        <v>64</v>
      </c>
    </row>
    <row r="32" spans="1:27" x14ac:dyDescent="0.15">
      <c r="A32" s="11">
        <f t="shared" si="0"/>
        <v>28</v>
      </c>
      <c r="E32" s="11" t="s">
        <v>201</v>
      </c>
      <c r="V32" s="28" t="s">
        <v>63</v>
      </c>
      <c r="X32" s="14" t="s">
        <v>64</v>
      </c>
      <c r="Y32" s="14" t="s">
        <v>64</v>
      </c>
    </row>
    <row r="33" spans="1:25" x14ac:dyDescent="0.15">
      <c r="A33" s="11">
        <f t="shared" si="0"/>
        <v>29</v>
      </c>
      <c r="E33" s="11" t="s">
        <v>202</v>
      </c>
      <c r="V33" s="28" t="s">
        <v>63</v>
      </c>
      <c r="X33" s="14" t="s">
        <v>64</v>
      </c>
      <c r="Y33" s="14" t="s">
        <v>64</v>
      </c>
    </row>
    <row r="34" spans="1:25" x14ac:dyDescent="0.15">
      <c r="A34" s="11">
        <f t="shared" si="0"/>
        <v>30</v>
      </c>
      <c r="E34" s="11" t="s">
        <v>203</v>
      </c>
      <c r="V34" s="28" t="s">
        <v>63</v>
      </c>
      <c r="X34" s="14" t="s">
        <v>64</v>
      </c>
      <c r="Y34" s="14" t="s">
        <v>64</v>
      </c>
    </row>
    <row r="35" spans="1:25" x14ac:dyDescent="0.15">
      <c r="A35" s="11">
        <f t="shared" si="0"/>
        <v>31</v>
      </c>
      <c r="E35" s="11" t="s">
        <v>204</v>
      </c>
      <c r="V35" s="28" t="s">
        <v>63</v>
      </c>
      <c r="X35" s="14" t="s">
        <v>64</v>
      </c>
      <c r="Y35" s="14" t="s">
        <v>64</v>
      </c>
    </row>
    <row r="36" spans="1:25" x14ac:dyDescent="0.15">
      <c r="A36" s="11">
        <f t="shared" si="0"/>
        <v>32</v>
      </c>
      <c r="E36" s="11" t="s">
        <v>205</v>
      </c>
      <c r="V36" s="28" t="s">
        <v>63</v>
      </c>
      <c r="X36" s="14" t="s">
        <v>64</v>
      </c>
      <c r="Y36" s="14" t="s">
        <v>64</v>
      </c>
    </row>
    <row r="37" spans="1:25" x14ac:dyDescent="0.15">
      <c r="A37" s="11">
        <f t="shared" si="0"/>
        <v>33</v>
      </c>
      <c r="E37" s="11" t="s">
        <v>206</v>
      </c>
      <c r="V37" s="28" t="s">
        <v>63</v>
      </c>
      <c r="X37" s="14" t="s">
        <v>64</v>
      </c>
      <c r="Y37" s="14" t="s">
        <v>64</v>
      </c>
    </row>
    <row r="38" spans="1:25" x14ac:dyDescent="0.15">
      <c r="A38" s="11">
        <f t="shared" si="0"/>
        <v>34</v>
      </c>
      <c r="E38" s="11" t="s">
        <v>207</v>
      </c>
      <c r="V38" s="28" t="s">
        <v>56</v>
      </c>
      <c r="W38" s="14">
        <v>255</v>
      </c>
      <c r="X38" s="14" t="s">
        <v>60</v>
      </c>
      <c r="Y38" s="14" t="s">
        <v>58</v>
      </c>
    </row>
    <row r="39" spans="1:25" x14ac:dyDescent="0.15">
      <c r="A39" s="11">
        <f t="shared" si="0"/>
        <v>35</v>
      </c>
      <c r="E39" s="11" t="s">
        <v>171</v>
      </c>
      <c r="V39" s="28" t="s">
        <v>56</v>
      </c>
      <c r="W39" s="14">
        <v>255</v>
      </c>
      <c r="X39" s="14" t="s">
        <v>60</v>
      </c>
      <c r="Y39" s="14" t="s">
        <v>58</v>
      </c>
    </row>
    <row r="40" spans="1:25" x14ac:dyDescent="0.15">
      <c r="A40" s="11">
        <f t="shared" si="0"/>
        <v>36</v>
      </c>
      <c r="E40" s="11" t="s">
        <v>92</v>
      </c>
      <c r="V40" s="28" t="s">
        <v>56</v>
      </c>
      <c r="W40" s="14">
        <v>255</v>
      </c>
      <c r="X40" s="14" t="s">
        <v>60</v>
      </c>
      <c r="Y40" s="14" t="s">
        <v>58</v>
      </c>
    </row>
    <row r="41" spans="1:25" x14ac:dyDescent="0.15">
      <c r="A41" s="11">
        <f t="shared" si="0"/>
        <v>37</v>
      </c>
      <c r="E41" s="11" t="s">
        <v>208</v>
      </c>
      <c r="V41" s="28" t="s">
        <v>89</v>
      </c>
      <c r="X41" s="14" t="s">
        <v>60</v>
      </c>
      <c r="Y41" s="14" t="s">
        <v>64</v>
      </c>
    </row>
    <row r="42" spans="1:25" x14ac:dyDescent="0.15">
      <c r="A42" s="11">
        <f t="shared" si="0"/>
        <v>38</v>
      </c>
      <c r="E42" s="11" t="s">
        <v>209</v>
      </c>
      <c r="V42" s="28" t="s">
        <v>89</v>
      </c>
      <c r="X42" s="14" t="s">
        <v>60</v>
      </c>
      <c r="Y42" s="14" t="s">
        <v>64</v>
      </c>
    </row>
    <row r="43" spans="1:25" x14ac:dyDescent="0.15">
      <c r="A43" s="11">
        <f t="shared" si="0"/>
        <v>39</v>
      </c>
      <c r="E43" s="11" t="s">
        <v>210</v>
      </c>
      <c r="V43" s="28" t="s">
        <v>89</v>
      </c>
      <c r="X43" s="14" t="s">
        <v>60</v>
      </c>
      <c r="Y43" s="14" t="s">
        <v>64</v>
      </c>
    </row>
    <row r="44" spans="1:25" x14ac:dyDescent="0.15">
      <c r="A44" s="11">
        <f t="shared" si="0"/>
        <v>40</v>
      </c>
      <c r="E44" s="11" t="s">
        <v>211</v>
      </c>
      <c r="V44" s="28" t="s">
        <v>89</v>
      </c>
      <c r="X44" s="14" t="s">
        <v>60</v>
      </c>
      <c r="Y44" s="14" t="s">
        <v>64</v>
      </c>
    </row>
    <row r="45" spans="1:25" x14ac:dyDescent="0.15">
      <c r="A45" s="11">
        <f t="shared" si="0"/>
        <v>41</v>
      </c>
      <c r="E45" s="11" t="s">
        <v>212</v>
      </c>
      <c r="V45" s="28" t="s">
        <v>89</v>
      </c>
      <c r="X45" s="14" t="s">
        <v>60</v>
      </c>
      <c r="Y45" s="14" t="s">
        <v>64</v>
      </c>
    </row>
    <row r="46" spans="1:25" x14ac:dyDescent="0.15">
      <c r="A46" s="11">
        <f t="shared" si="0"/>
        <v>42</v>
      </c>
      <c r="E46" s="11" t="s">
        <v>213</v>
      </c>
      <c r="V46" s="28" t="s">
        <v>89</v>
      </c>
      <c r="X46" s="14" t="s">
        <v>60</v>
      </c>
      <c r="Y46" s="14" t="s">
        <v>64</v>
      </c>
    </row>
    <row r="47" spans="1:25" x14ac:dyDescent="0.15">
      <c r="A47" s="11">
        <f t="shared" si="0"/>
        <v>43</v>
      </c>
      <c r="E47" s="11" t="s">
        <v>214</v>
      </c>
      <c r="V47" s="28" t="s">
        <v>89</v>
      </c>
      <c r="X47" s="14" t="s">
        <v>60</v>
      </c>
      <c r="Y47" s="14" t="s">
        <v>64</v>
      </c>
    </row>
    <row r="48" spans="1:25" x14ac:dyDescent="0.15">
      <c r="A48" s="11">
        <f t="shared" si="0"/>
        <v>44</v>
      </c>
      <c r="E48" s="11" t="s">
        <v>215</v>
      </c>
      <c r="V48" s="28" t="s">
        <v>89</v>
      </c>
      <c r="X48" s="14" t="s">
        <v>60</v>
      </c>
      <c r="Y48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AC2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7" t="s">
        <v>3</v>
      </c>
      <c r="B1" s="68"/>
      <c r="C1" s="55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7"/>
      <c r="V1" s="61" t="s">
        <v>4</v>
      </c>
      <c r="W1" s="50"/>
      <c r="X1" s="50"/>
      <c r="Y1" s="50"/>
      <c r="Z1" s="50"/>
      <c r="AA1" s="50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6" t="s">
        <v>49</v>
      </c>
      <c r="B2" s="47"/>
      <c r="C2" s="58" t="s">
        <v>256</v>
      </c>
      <c r="D2" s="59"/>
      <c r="E2" s="60"/>
      <c r="F2" s="63" t="s">
        <v>5</v>
      </c>
      <c r="G2" s="65" t="s">
        <v>47</v>
      </c>
      <c r="H2" s="65"/>
      <c r="I2" s="65"/>
      <c r="J2" s="65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2"/>
      <c r="W2" s="51"/>
      <c r="X2" s="51"/>
      <c r="Y2" s="51"/>
      <c r="Z2" s="51"/>
      <c r="AA2" s="51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2" t="s">
        <v>0</v>
      </c>
      <c r="C3" s="53"/>
      <c r="D3" s="54"/>
      <c r="E3" s="25" t="s">
        <v>53</v>
      </c>
      <c r="F3" s="64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8" t="s">
        <v>2</v>
      </c>
      <c r="AA3" s="49"/>
    </row>
    <row r="4" spans="1:29" s="11" customFormat="1" ht="11.25" customHeight="1" x14ac:dyDescent="0.15">
      <c r="A4" s="7">
        <f t="shared" ref="A4:A24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257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50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258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100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259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260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89</v>
      </c>
      <c r="W11" s="9"/>
      <c r="X11" s="9" t="s">
        <v>57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261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89</v>
      </c>
      <c r="W12" s="9"/>
      <c r="X12" s="9" t="s">
        <v>57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262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89</v>
      </c>
      <c r="W13" s="9"/>
      <c r="X13" s="9" t="s">
        <v>57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263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72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264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72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265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50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266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72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267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72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268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72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269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50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128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72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270</v>
      </c>
      <c r="V22" s="28" t="s">
        <v>72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112</v>
      </c>
      <c r="V23" s="17" t="s">
        <v>56</v>
      </c>
      <c r="W23" s="14">
        <v>255</v>
      </c>
      <c r="X23" s="14" t="s">
        <v>60</v>
      </c>
      <c r="Y23" s="14" t="s">
        <v>58</v>
      </c>
    </row>
    <row r="24" spans="1:27" x14ac:dyDescent="0.15">
      <c r="A24" s="11">
        <f t="shared" si="0"/>
        <v>20</v>
      </c>
      <c r="E24" s="11" t="s">
        <v>271</v>
      </c>
      <c r="V24" s="28" t="s">
        <v>80</v>
      </c>
      <c r="X24" s="14" t="s">
        <v>60</v>
      </c>
      <c r="Y24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1:AC3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7" t="s">
        <v>3</v>
      </c>
      <c r="B1" s="68"/>
      <c r="C1" s="55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7"/>
      <c r="V1" s="61" t="s">
        <v>4</v>
      </c>
      <c r="W1" s="50"/>
      <c r="X1" s="50"/>
      <c r="Y1" s="50"/>
      <c r="Z1" s="50"/>
      <c r="AA1" s="50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6" t="s">
        <v>49</v>
      </c>
      <c r="B2" s="47"/>
      <c r="C2" s="58" t="s">
        <v>119</v>
      </c>
      <c r="D2" s="59"/>
      <c r="E2" s="60"/>
      <c r="F2" s="63" t="s">
        <v>5</v>
      </c>
      <c r="G2" s="65" t="s">
        <v>47</v>
      </c>
      <c r="H2" s="65"/>
      <c r="I2" s="65"/>
      <c r="J2" s="65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2"/>
      <c r="W2" s="51"/>
      <c r="X2" s="51"/>
      <c r="Y2" s="51"/>
      <c r="Z2" s="51"/>
      <c r="AA2" s="51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2" t="s">
        <v>0</v>
      </c>
      <c r="C3" s="53"/>
      <c r="D3" s="54"/>
      <c r="E3" s="25" t="s">
        <v>53</v>
      </c>
      <c r="F3" s="64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8" t="s">
        <v>2</v>
      </c>
      <c r="AA3" s="49"/>
    </row>
    <row r="4" spans="1:29" s="11" customFormat="1" ht="11.25" customHeight="1" x14ac:dyDescent="0.15">
      <c r="A4" s="7">
        <f t="shared" ref="A4:A34" si="0">ROW()-4</f>
        <v>0</v>
      </c>
      <c r="B4" s="24"/>
      <c r="C4" s="13"/>
      <c r="D4" s="13"/>
      <c r="E4" s="8" t="s">
        <v>120</v>
      </c>
      <c r="F4" s="9"/>
      <c r="G4" s="9"/>
      <c r="H4" s="9">
        <v>1</v>
      </c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13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>
        <v>1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>
        <v>2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>
        <v>3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57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>
        <v>4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57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121</v>
      </c>
      <c r="F9" s="9">
        <v>5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122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89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123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50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124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125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10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126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127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128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129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130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98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63</v>
      </c>
      <c r="W19" s="14"/>
      <c r="X19" s="14" t="s">
        <v>64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131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95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82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110</v>
      </c>
      <c r="V23" s="17" t="s">
        <v>132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133</v>
      </c>
      <c r="V24" s="28" t="s">
        <v>63</v>
      </c>
      <c r="X24" s="14" t="s">
        <v>64</v>
      </c>
      <c r="Y24" s="14" t="s">
        <v>64</v>
      </c>
    </row>
    <row r="25" spans="1:27" x14ac:dyDescent="0.15">
      <c r="A25" s="11">
        <f t="shared" si="0"/>
        <v>21</v>
      </c>
      <c r="E25" s="11" t="s">
        <v>62</v>
      </c>
      <c r="V25" s="28" t="s">
        <v>63</v>
      </c>
      <c r="X25" s="14" t="s">
        <v>64</v>
      </c>
      <c r="Y25" s="14" t="s">
        <v>64</v>
      </c>
    </row>
    <row r="26" spans="1:27" x14ac:dyDescent="0.15">
      <c r="A26" s="11">
        <f t="shared" si="0"/>
        <v>22</v>
      </c>
      <c r="E26" s="11" t="s">
        <v>134</v>
      </c>
      <c r="G26" s="14">
        <v>1</v>
      </c>
      <c r="V26" s="28" t="s">
        <v>56</v>
      </c>
      <c r="W26" s="14">
        <v>15</v>
      </c>
      <c r="X26" s="14" t="s">
        <v>60</v>
      </c>
      <c r="Y26" s="14" t="s">
        <v>58</v>
      </c>
    </row>
    <row r="27" spans="1:27" x14ac:dyDescent="0.15">
      <c r="A27" s="11">
        <f t="shared" si="0"/>
        <v>23</v>
      </c>
      <c r="E27" s="11" t="s">
        <v>135</v>
      </c>
      <c r="V27" s="28" t="s">
        <v>56</v>
      </c>
      <c r="W27" s="14">
        <v>30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136</v>
      </c>
      <c r="V28" s="28" t="s">
        <v>89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137</v>
      </c>
      <c r="V29" s="28" t="s">
        <v>89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B30" s="50" t="s">
        <v>272</v>
      </c>
      <c r="E30" s="11" t="s">
        <v>85</v>
      </c>
      <c r="V30" s="28" t="s">
        <v>63</v>
      </c>
      <c r="X30" s="14" t="s">
        <v>64</v>
      </c>
      <c r="Y30" s="14" t="s">
        <v>64</v>
      </c>
    </row>
    <row r="31" spans="1:27" x14ac:dyDescent="0.15">
      <c r="A31" s="11">
        <f t="shared" si="0"/>
        <v>27</v>
      </c>
      <c r="B31" s="50"/>
      <c r="E31" s="11" t="s">
        <v>86</v>
      </c>
      <c r="V31" s="2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B32" s="70" t="s">
        <v>654</v>
      </c>
      <c r="C32" s="70"/>
      <c r="D32" s="70"/>
      <c r="E32" s="11" t="s">
        <v>655</v>
      </c>
      <c r="V32" s="28" t="s">
        <v>63</v>
      </c>
      <c r="X32" s="14" t="s">
        <v>64</v>
      </c>
      <c r="Y32" s="14" t="s">
        <v>64</v>
      </c>
    </row>
    <row r="33" spans="1:25" x14ac:dyDescent="0.15">
      <c r="A33" s="11">
        <f t="shared" si="0"/>
        <v>29</v>
      </c>
      <c r="B33" s="28" t="s">
        <v>676</v>
      </c>
      <c r="E33" s="11" t="s">
        <v>293</v>
      </c>
      <c r="V33" s="28" t="s">
        <v>22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B34" s="31" t="s">
        <v>676</v>
      </c>
      <c r="E34" s="11" t="s">
        <v>677</v>
      </c>
      <c r="V34" s="28" t="s">
        <v>11</v>
      </c>
      <c r="W34" s="14">
        <v>30</v>
      </c>
      <c r="X34" s="14" t="s">
        <v>60</v>
      </c>
      <c r="Y34" s="14" t="s">
        <v>58</v>
      </c>
    </row>
  </sheetData>
  <mergeCells count="12">
    <mergeCell ref="B30:B31"/>
    <mergeCell ref="B32:D32"/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36 A1:A104857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B1:B4 C1:U1 C33:D65536 B9:B30 C3:D31 B32:B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1:AC3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7" t="s">
        <v>3</v>
      </c>
      <c r="B1" s="68"/>
      <c r="C1" s="55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7"/>
      <c r="V1" s="61" t="s">
        <v>4</v>
      </c>
      <c r="W1" s="50"/>
      <c r="X1" s="50"/>
      <c r="Y1" s="50"/>
      <c r="Z1" s="50"/>
      <c r="AA1" s="50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6" t="s">
        <v>49</v>
      </c>
      <c r="B2" s="47"/>
      <c r="C2" s="58" t="s">
        <v>138</v>
      </c>
      <c r="D2" s="59"/>
      <c r="E2" s="60"/>
      <c r="F2" s="63" t="s">
        <v>5</v>
      </c>
      <c r="G2" s="65" t="s">
        <v>47</v>
      </c>
      <c r="H2" s="65"/>
      <c r="I2" s="65"/>
      <c r="J2" s="65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2"/>
      <c r="W2" s="51"/>
      <c r="X2" s="51"/>
      <c r="Y2" s="51"/>
      <c r="Z2" s="51"/>
      <c r="AA2" s="51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2" t="s">
        <v>0</v>
      </c>
      <c r="C3" s="53"/>
      <c r="D3" s="54"/>
      <c r="E3" s="25" t="s">
        <v>53</v>
      </c>
      <c r="F3" s="64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8" t="s">
        <v>2</v>
      </c>
      <c r="AA3" s="49"/>
    </row>
    <row r="4" spans="1:29" s="11" customFormat="1" ht="11.25" customHeight="1" x14ac:dyDescent="0.15">
      <c r="A4" s="7">
        <f t="shared" ref="A4:A34" si="0">ROW()-4</f>
        <v>0</v>
      </c>
      <c r="B4" s="24"/>
      <c r="C4" s="13"/>
      <c r="D4" s="13"/>
      <c r="E4" s="8" t="s">
        <v>120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13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121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122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89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123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50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124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125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10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126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127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128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129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130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98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63</v>
      </c>
      <c r="W19" s="14"/>
      <c r="X19" s="14" t="s">
        <v>64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131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95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82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110</v>
      </c>
      <c r="V23" s="17" t="s">
        <v>132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133</v>
      </c>
      <c r="V24" s="28" t="s">
        <v>63</v>
      </c>
      <c r="X24" s="14" t="s">
        <v>64</v>
      </c>
      <c r="Y24" s="14" t="s">
        <v>64</v>
      </c>
    </row>
    <row r="25" spans="1:27" x14ac:dyDescent="0.15">
      <c r="A25" s="11">
        <f t="shared" si="0"/>
        <v>21</v>
      </c>
      <c r="E25" s="11" t="s">
        <v>62</v>
      </c>
      <c r="V25" s="28" t="s">
        <v>63</v>
      </c>
      <c r="X25" s="14" t="s">
        <v>64</v>
      </c>
      <c r="Y25" s="14" t="s">
        <v>64</v>
      </c>
    </row>
    <row r="26" spans="1:27" x14ac:dyDescent="0.15">
      <c r="A26" s="11">
        <f t="shared" si="0"/>
        <v>22</v>
      </c>
      <c r="E26" s="11" t="s">
        <v>134</v>
      </c>
      <c r="V26" s="28" t="s">
        <v>56</v>
      </c>
      <c r="W26" s="14">
        <v>15</v>
      </c>
      <c r="X26" s="14" t="s">
        <v>60</v>
      </c>
      <c r="Y26" s="14" t="s">
        <v>58</v>
      </c>
    </row>
    <row r="27" spans="1:27" x14ac:dyDescent="0.15">
      <c r="A27" s="11">
        <f t="shared" si="0"/>
        <v>23</v>
      </c>
      <c r="E27" s="11" t="s">
        <v>135</v>
      </c>
      <c r="V27" s="28" t="s">
        <v>56</v>
      </c>
      <c r="W27" s="14">
        <v>30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136</v>
      </c>
      <c r="V28" s="28" t="s">
        <v>89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137</v>
      </c>
      <c r="V29" s="28" t="s">
        <v>89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85</v>
      </c>
      <c r="V30" s="28" t="s">
        <v>63</v>
      </c>
      <c r="X30" s="14" t="s">
        <v>64</v>
      </c>
      <c r="Y30" s="14" t="s">
        <v>64</v>
      </c>
    </row>
    <row r="31" spans="1:27" x14ac:dyDescent="0.15">
      <c r="A31" s="11">
        <f t="shared" si="0"/>
        <v>27</v>
      </c>
      <c r="E31" s="11" t="s">
        <v>86</v>
      </c>
      <c r="V31" s="2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E32" s="11" t="s">
        <v>655</v>
      </c>
      <c r="V32" s="28" t="s">
        <v>63</v>
      </c>
      <c r="X32" s="14" t="s">
        <v>64</v>
      </c>
      <c r="Y32" s="14" t="s">
        <v>64</v>
      </c>
    </row>
    <row r="33" spans="1:25" x14ac:dyDescent="0.15">
      <c r="A33" s="11">
        <f t="shared" si="0"/>
        <v>29</v>
      </c>
      <c r="B33" s="31" t="s">
        <v>676</v>
      </c>
      <c r="C33" s="31"/>
      <c r="D33" s="31"/>
      <c r="E33" s="11" t="s">
        <v>293</v>
      </c>
      <c r="V33" s="31" t="s">
        <v>22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B34" s="31" t="s">
        <v>676</v>
      </c>
      <c r="C34" s="31"/>
      <c r="D34" s="31"/>
      <c r="E34" s="11" t="s">
        <v>677</v>
      </c>
      <c r="V34" s="31" t="s">
        <v>11</v>
      </c>
      <c r="W34" s="14">
        <v>30</v>
      </c>
      <c r="X34" s="14" t="s">
        <v>60</v>
      </c>
      <c r="Y34" s="14" t="s">
        <v>58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36 A1:A1048576"/>
    <dataValidation type="whole" imeMode="off" operator="greaterThanOrEqual" allowBlank="1" showInputMessage="1" showErrorMessage="1" sqref="F2:U65536 W3:W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C1:U1 B10:D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A1:AC26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7" t="s">
        <v>3</v>
      </c>
      <c r="B1" s="68"/>
      <c r="C1" s="55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7"/>
      <c r="V1" s="61" t="s">
        <v>4</v>
      </c>
      <c r="W1" s="50"/>
      <c r="X1" s="50"/>
      <c r="Y1" s="50"/>
      <c r="Z1" s="50"/>
      <c r="AA1" s="50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6" t="s">
        <v>49</v>
      </c>
      <c r="B2" s="47"/>
      <c r="C2" s="58" t="s">
        <v>139</v>
      </c>
      <c r="D2" s="59"/>
      <c r="E2" s="60"/>
      <c r="F2" s="63" t="s">
        <v>5</v>
      </c>
      <c r="G2" s="65" t="s">
        <v>47</v>
      </c>
      <c r="H2" s="65"/>
      <c r="I2" s="65"/>
      <c r="J2" s="65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2"/>
      <c r="W2" s="51"/>
      <c r="X2" s="51"/>
      <c r="Y2" s="51"/>
      <c r="Z2" s="51"/>
      <c r="AA2" s="51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2" t="s">
        <v>0</v>
      </c>
      <c r="C3" s="53"/>
      <c r="D3" s="54"/>
      <c r="E3" s="25" t="s">
        <v>53</v>
      </c>
      <c r="F3" s="64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8" t="s">
        <v>2</v>
      </c>
      <c r="AA3" s="49"/>
    </row>
    <row r="4" spans="1:29" s="11" customFormat="1" ht="11.25" customHeight="1" x14ac:dyDescent="0.15">
      <c r="A4" s="7">
        <f t="shared" ref="A4:A26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94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50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91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95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123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98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63</v>
      </c>
      <c r="W11" s="9"/>
      <c r="X11" s="9" t="s">
        <v>64</v>
      </c>
      <c r="Y11" s="9" t="s">
        <v>64</v>
      </c>
      <c r="Z11" s="10"/>
      <c r="AA11" s="10"/>
    </row>
    <row r="12" spans="1:29" s="11" customFormat="1" ht="22.5" x14ac:dyDescent="0.15">
      <c r="A12" s="12">
        <f t="shared" si="0"/>
        <v>8</v>
      </c>
      <c r="B12" s="13"/>
      <c r="C12" s="13"/>
      <c r="D12" s="13"/>
      <c r="E12" s="8" t="s">
        <v>140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141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142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255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143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255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99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100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101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102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103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104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105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106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107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108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109</v>
      </c>
      <c r="V26" s="28" t="s">
        <v>80</v>
      </c>
      <c r="X26" s="14" t="s">
        <v>60</v>
      </c>
      <c r="Y26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7" t="s">
        <v>3</v>
      </c>
      <c r="B1" s="68"/>
      <c r="C1" s="55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7"/>
      <c r="V1" s="61" t="s">
        <v>4</v>
      </c>
      <c r="W1" s="50"/>
      <c r="X1" s="50"/>
      <c r="Y1" s="50"/>
      <c r="Z1" s="50"/>
      <c r="AA1" s="50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6" t="s">
        <v>49</v>
      </c>
      <c r="B2" s="47"/>
      <c r="C2" s="58" t="s">
        <v>144</v>
      </c>
      <c r="D2" s="59"/>
      <c r="E2" s="60"/>
      <c r="F2" s="63" t="s">
        <v>5</v>
      </c>
      <c r="G2" s="65" t="s">
        <v>47</v>
      </c>
      <c r="H2" s="65"/>
      <c r="I2" s="65"/>
      <c r="J2" s="65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2"/>
      <c r="W2" s="51"/>
      <c r="X2" s="51"/>
      <c r="Y2" s="51"/>
      <c r="Z2" s="51"/>
      <c r="AA2" s="51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2" t="s">
        <v>0</v>
      </c>
      <c r="C3" s="53"/>
      <c r="D3" s="54"/>
      <c r="E3" s="25" t="s">
        <v>53</v>
      </c>
      <c r="F3" s="64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8" t="s">
        <v>2</v>
      </c>
      <c r="AA3" s="49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145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63</v>
      </c>
      <c r="W4" s="9"/>
      <c r="X4" s="9" t="s">
        <v>64</v>
      </c>
      <c r="Y4" s="9" t="s">
        <v>64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146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63</v>
      </c>
      <c r="W5" s="9"/>
      <c r="X5" s="9" t="s">
        <v>64</v>
      </c>
      <c r="Y5" s="9" t="s">
        <v>64</v>
      </c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1:AC45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7" t="s">
        <v>3</v>
      </c>
      <c r="B1" s="68"/>
      <c r="C1" s="55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7"/>
      <c r="V1" s="61" t="s">
        <v>4</v>
      </c>
      <c r="W1" s="50"/>
      <c r="X1" s="50"/>
      <c r="Y1" s="50"/>
      <c r="Z1" s="50"/>
      <c r="AA1" s="50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6" t="s">
        <v>49</v>
      </c>
      <c r="B2" s="47"/>
      <c r="C2" s="58" t="s">
        <v>216</v>
      </c>
      <c r="D2" s="59"/>
      <c r="E2" s="60"/>
      <c r="F2" s="63" t="s">
        <v>5</v>
      </c>
      <c r="G2" s="65" t="s">
        <v>47</v>
      </c>
      <c r="H2" s="65"/>
      <c r="I2" s="65"/>
      <c r="J2" s="65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2"/>
      <c r="W2" s="51"/>
      <c r="X2" s="51"/>
      <c r="Y2" s="51"/>
      <c r="Z2" s="51"/>
      <c r="AA2" s="51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2" t="s">
        <v>0</v>
      </c>
      <c r="C3" s="53"/>
      <c r="D3" s="54"/>
      <c r="E3" s="25" t="s">
        <v>53</v>
      </c>
      <c r="F3" s="64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8" t="s">
        <v>2</v>
      </c>
      <c r="AA3" s="49"/>
    </row>
    <row r="4" spans="1:29" s="11" customFormat="1" ht="11.25" customHeight="1" x14ac:dyDescent="0.15">
      <c r="A4" s="7">
        <f t="shared" ref="A4:A45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255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217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218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183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184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63</v>
      </c>
      <c r="W10" s="9"/>
      <c r="X10" s="9" t="s">
        <v>64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182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185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186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98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189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255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191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192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193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194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219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255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220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89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215</v>
      </c>
      <c r="V22" s="28" t="s">
        <v>89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201</v>
      </c>
      <c r="V23" s="17" t="s">
        <v>63</v>
      </c>
      <c r="X23" s="14" t="s">
        <v>64</v>
      </c>
      <c r="Y23" s="14" t="s">
        <v>64</v>
      </c>
    </row>
    <row r="24" spans="1:27" x14ac:dyDescent="0.15">
      <c r="A24" s="11">
        <f t="shared" si="0"/>
        <v>20</v>
      </c>
      <c r="E24" s="11" t="s">
        <v>202</v>
      </c>
      <c r="V24" s="28" t="s">
        <v>63</v>
      </c>
      <c r="X24" s="14" t="s">
        <v>64</v>
      </c>
      <c r="Y24" s="14" t="s">
        <v>64</v>
      </c>
    </row>
    <row r="25" spans="1:27" x14ac:dyDescent="0.15">
      <c r="A25" s="11">
        <f t="shared" si="0"/>
        <v>21</v>
      </c>
      <c r="E25" s="11" t="s">
        <v>203</v>
      </c>
      <c r="V25" s="28" t="s">
        <v>63</v>
      </c>
      <c r="X25" s="14" t="s">
        <v>64</v>
      </c>
      <c r="Y25" s="14" t="s">
        <v>64</v>
      </c>
    </row>
    <row r="26" spans="1:27" x14ac:dyDescent="0.15">
      <c r="A26" s="11">
        <f t="shared" si="0"/>
        <v>22</v>
      </c>
      <c r="E26" s="11" t="s">
        <v>204</v>
      </c>
      <c r="V26" s="28" t="s">
        <v>63</v>
      </c>
      <c r="X26" s="14" t="s">
        <v>64</v>
      </c>
      <c r="Y26" s="14" t="s">
        <v>64</v>
      </c>
    </row>
    <row r="27" spans="1:27" x14ac:dyDescent="0.15">
      <c r="A27" s="11">
        <f t="shared" si="0"/>
        <v>23</v>
      </c>
      <c r="E27" s="11" t="s">
        <v>205</v>
      </c>
      <c r="V27" s="28" t="s">
        <v>63</v>
      </c>
      <c r="X27" s="14" t="s">
        <v>64</v>
      </c>
      <c r="Y27" s="14" t="s">
        <v>64</v>
      </c>
    </row>
    <row r="28" spans="1:27" x14ac:dyDescent="0.15">
      <c r="A28" s="11">
        <f t="shared" si="0"/>
        <v>24</v>
      </c>
      <c r="E28" s="11" t="s">
        <v>206</v>
      </c>
      <c r="V28" s="28" t="s">
        <v>63</v>
      </c>
      <c r="X28" s="14" t="s">
        <v>64</v>
      </c>
      <c r="Y28" s="14" t="s">
        <v>64</v>
      </c>
    </row>
    <row r="29" spans="1:27" x14ac:dyDescent="0.15">
      <c r="A29" s="11">
        <f t="shared" si="0"/>
        <v>25</v>
      </c>
      <c r="E29" s="11" t="s">
        <v>213</v>
      </c>
      <c r="V29" s="28" t="s">
        <v>89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214</v>
      </c>
      <c r="V30" s="28" t="s">
        <v>89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188</v>
      </c>
      <c r="V31" s="2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E32" s="11" t="s">
        <v>195</v>
      </c>
      <c r="V32" s="28" t="s">
        <v>80</v>
      </c>
      <c r="X32" s="14" t="s">
        <v>60</v>
      </c>
      <c r="Y32" s="14" t="s">
        <v>64</v>
      </c>
    </row>
    <row r="33" spans="1:25" x14ac:dyDescent="0.15">
      <c r="A33" s="11">
        <f t="shared" si="0"/>
        <v>29</v>
      </c>
      <c r="E33" s="11" t="s">
        <v>106</v>
      </c>
      <c r="V33" s="28" t="s">
        <v>80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E34" s="11" t="s">
        <v>100</v>
      </c>
      <c r="V34" s="28" t="s">
        <v>80</v>
      </c>
      <c r="X34" s="14" t="s">
        <v>60</v>
      </c>
      <c r="Y34" s="14" t="s">
        <v>64</v>
      </c>
    </row>
    <row r="35" spans="1:25" x14ac:dyDescent="0.15">
      <c r="A35" s="11">
        <f t="shared" si="0"/>
        <v>31</v>
      </c>
      <c r="E35" s="11" t="s">
        <v>196</v>
      </c>
      <c r="V35" s="28" t="s">
        <v>80</v>
      </c>
      <c r="X35" s="14" t="s">
        <v>60</v>
      </c>
      <c r="Y35" s="14" t="s">
        <v>64</v>
      </c>
    </row>
    <row r="36" spans="1:25" x14ac:dyDescent="0.15">
      <c r="A36" s="11">
        <f t="shared" si="0"/>
        <v>32</v>
      </c>
      <c r="E36" s="11" t="s">
        <v>197</v>
      </c>
      <c r="V36" s="28" t="s">
        <v>80</v>
      </c>
      <c r="X36" s="14" t="s">
        <v>60</v>
      </c>
      <c r="Y36" s="14" t="s">
        <v>64</v>
      </c>
    </row>
    <row r="37" spans="1:25" x14ac:dyDescent="0.15">
      <c r="A37" s="11">
        <f t="shared" si="0"/>
        <v>33</v>
      </c>
      <c r="E37" s="11" t="s">
        <v>198</v>
      </c>
      <c r="V37" s="28" t="s">
        <v>80</v>
      </c>
      <c r="X37" s="14" t="s">
        <v>60</v>
      </c>
      <c r="Y37" s="14" t="s">
        <v>64</v>
      </c>
    </row>
    <row r="38" spans="1:25" x14ac:dyDescent="0.15">
      <c r="A38" s="11">
        <f t="shared" si="0"/>
        <v>34</v>
      </c>
      <c r="E38" s="11" t="s">
        <v>199</v>
      </c>
      <c r="V38" s="28" t="s">
        <v>80</v>
      </c>
      <c r="X38" s="14" t="s">
        <v>60</v>
      </c>
      <c r="Y38" s="14" t="s">
        <v>64</v>
      </c>
    </row>
    <row r="39" spans="1:25" x14ac:dyDescent="0.15">
      <c r="A39" s="11">
        <f t="shared" si="0"/>
        <v>35</v>
      </c>
      <c r="E39" s="11" t="s">
        <v>200</v>
      </c>
      <c r="V39" s="28" t="s">
        <v>80</v>
      </c>
      <c r="X39" s="14" t="s">
        <v>60</v>
      </c>
      <c r="Y39" s="14" t="s">
        <v>64</v>
      </c>
    </row>
    <row r="40" spans="1:25" x14ac:dyDescent="0.15">
      <c r="A40" s="11">
        <f t="shared" si="0"/>
        <v>36</v>
      </c>
      <c r="E40" s="11" t="s">
        <v>92</v>
      </c>
      <c r="V40" s="28" t="s">
        <v>56</v>
      </c>
      <c r="W40" s="14">
        <v>255</v>
      </c>
      <c r="X40" s="14" t="s">
        <v>60</v>
      </c>
      <c r="Y40" s="14" t="s">
        <v>58</v>
      </c>
    </row>
    <row r="41" spans="1:25" x14ac:dyDescent="0.15">
      <c r="A41" s="11">
        <f t="shared" si="0"/>
        <v>37</v>
      </c>
      <c r="E41" s="11" t="s">
        <v>221</v>
      </c>
      <c r="V41" s="28" t="s">
        <v>56</v>
      </c>
      <c r="W41" s="14">
        <v>255</v>
      </c>
      <c r="X41" s="14" t="s">
        <v>60</v>
      </c>
      <c r="Y41" s="14" t="s">
        <v>58</v>
      </c>
    </row>
    <row r="42" spans="1:25" x14ac:dyDescent="0.15">
      <c r="A42" s="11">
        <f t="shared" si="0"/>
        <v>38</v>
      </c>
      <c r="E42" s="11" t="s">
        <v>207</v>
      </c>
      <c r="V42" s="28" t="s">
        <v>56</v>
      </c>
      <c r="W42" s="14">
        <v>255</v>
      </c>
      <c r="X42" s="14" t="s">
        <v>60</v>
      </c>
      <c r="Y42" s="14" t="s">
        <v>58</v>
      </c>
    </row>
    <row r="43" spans="1:25" x14ac:dyDescent="0.15">
      <c r="A43" s="11">
        <f t="shared" si="0"/>
        <v>39</v>
      </c>
      <c r="E43" s="11" t="s">
        <v>171</v>
      </c>
      <c r="V43" s="28" t="s">
        <v>56</v>
      </c>
      <c r="W43" s="14">
        <v>255</v>
      </c>
      <c r="X43" s="14" t="s">
        <v>60</v>
      </c>
      <c r="Y43" s="14" t="s">
        <v>58</v>
      </c>
    </row>
    <row r="44" spans="1:25" x14ac:dyDescent="0.15">
      <c r="A44" s="11">
        <f t="shared" si="0"/>
        <v>40</v>
      </c>
      <c r="E44" s="11" t="s">
        <v>222</v>
      </c>
      <c r="V44" s="28" t="s">
        <v>56</v>
      </c>
      <c r="W44" s="14">
        <v>255</v>
      </c>
      <c r="X44" s="14" t="s">
        <v>60</v>
      </c>
      <c r="Y44" s="14" t="s">
        <v>58</v>
      </c>
    </row>
    <row r="45" spans="1:25" x14ac:dyDescent="0.15">
      <c r="A45" s="11">
        <f t="shared" si="0"/>
        <v>41</v>
      </c>
      <c r="E45" s="11" t="s">
        <v>223</v>
      </c>
      <c r="V45" s="28" t="s">
        <v>56</v>
      </c>
      <c r="W45" s="14">
        <v>255</v>
      </c>
      <c r="X45" s="14" t="s">
        <v>60</v>
      </c>
      <c r="Y45" s="14" t="s">
        <v>58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AC37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7" t="s">
        <v>3</v>
      </c>
      <c r="B1" s="68"/>
      <c r="C1" s="55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7"/>
      <c r="V1" s="61" t="s">
        <v>4</v>
      </c>
      <c r="W1" s="50"/>
      <c r="X1" s="50"/>
      <c r="Y1" s="50"/>
      <c r="Z1" s="50"/>
      <c r="AA1" s="50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6" t="s">
        <v>49</v>
      </c>
      <c r="B2" s="47"/>
      <c r="C2" s="58" t="s">
        <v>147</v>
      </c>
      <c r="D2" s="59"/>
      <c r="E2" s="60"/>
      <c r="F2" s="63" t="s">
        <v>5</v>
      </c>
      <c r="G2" s="65" t="s">
        <v>47</v>
      </c>
      <c r="H2" s="65"/>
      <c r="I2" s="65"/>
      <c r="J2" s="65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2"/>
      <c r="W2" s="51"/>
      <c r="X2" s="51"/>
      <c r="Y2" s="51"/>
      <c r="Z2" s="51"/>
      <c r="AA2" s="51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2" t="s">
        <v>0</v>
      </c>
      <c r="C3" s="53"/>
      <c r="D3" s="54"/>
      <c r="E3" s="25" t="s">
        <v>53</v>
      </c>
      <c r="F3" s="64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8" t="s">
        <v>2</v>
      </c>
      <c r="AA3" s="49"/>
    </row>
    <row r="4" spans="1:29" s="11" customFormat="1" ht="11.25" customHeight="1" x14ac:dyDescent="0.15">
      <c r="A4" s="7">
        <f t="shared" ref="A4:A37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255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95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79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80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148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141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98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128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80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149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80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150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151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152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153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154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155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159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160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122</v>
      </c>
      <c r="V24" s="28" t="s">
        <v>89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156</v>
      </c>
      <c r="V25" s="28" t="s">
        <v>56</v>
      </c>
      <c r="W25" s="14">
        <v>255</v>
      </c>
      <c r="X25" s="14" t="s">
        <v>60</v>
      </c>
      <c r="Y25" s="14" t="s">
        <v>58</v>
      </c>
    </row>
    <row r="26" spans="1:27" x14ac:dyDescent="0.15">
      <c r="A26" s="11">
        <f t="shared" si="0"/>
        <v>22</v>
      </c>
      <c r="E26" s="11" t="s">
        <v>157</v>
      </c>
      <c r="V26" s="28" t="s">
        <v>63</v>
      </c>
      <c r="X26" s="14" t="s">
        <v>64</v>
      </c>
      <c r="Y26" s="14" t="s">
        <v>64</v>
      </c>
    </row>
    <row r="27" spans="1:27" x14ac:dyDescent="0.15">
      <c r="A27" s="11">
        <f t="shared" si="0"/>
        <v>23</v>
      </c>
      <c r="E27" s="11" t="s">
        <v>85</v>
      </c>
      <c r="V27" s="28" t="s">
        <v>63</v>
      </c>
      <c r="X27" s="14" t="s">
        <v>64</v>
      </c>
      <c r="Y27" s="14" t="s">
        <v>64</v>
      </c>
    </row>
    <row r="28" spans="1:27" x14ac:dyDescent="0.15">
      <c r="A28" s="11">
        <f t="shared" si="0"/>
        <v>24</v>
      </c>
      <c r="E28" s="11" t="s">
        <v>93</v>
      </c>
      <c r="V28" s="28" t="s">
        <v>56</v>
      </c>
      <c r="W28" s="14">
        <v>255</v>
      </c>
      <c r="X28" s="14" t="s">
        <v>60</v>
      </c>
      <c r="Y28" s="14" t="s">
        <v>58</v>
      </c>
    </row>
    <row r="29" spans="1:27" x14ac:dyDescent="0.15">
      <c r="A29" s="11">
        <f t="shared" si="0"/>
        <v>25</v>
      </c>
      <c r="E29" s="11" t="s">
        <v>86</v>
      </c>
      <c r="V29" s="28" t="s">
        <v>63</v>
      </c>
      <c r="X29" s="14" t="s">
        <v>64</v>
      </c>
      <c r="Y29" s="14" t="s">
        <v>64</v>
      </c>
    </row>
    <row r="30" spans="1:27" x14ac:dyDescent="0.15">
      <c r="A30" s="11">
        <f t="shared" si="0"/>
        <v>26</v>
      </c>
      <c r="E30" s="11" t="s">
        <v>158</v>
      </c>
      <c r="V30" s="28" t="s">
        <v>63</v>
      </c>
      <c r="X30" s="14" t="s">
        <v>64</v>
      </c>
      <c r="Y30" s="14" t="s">
        <v>64</v>
      </c>
    </row>
    <row r="31" spans="1:27" x14ac:dyDescent="0.15">
      <c r="A31" s="11">
        <f t="shared" si="0"/>
        <v>27</v>
      </c>
      <c r="E31" s="11" t="s">
        <v>161</v>
      </c>
      <c r="V31" s="2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E32" s="11" t="s">
        <v>162</v>
      </c>
      <c r="V32" s="28" t="s">
        <v>56</v>
      </c>
      <c r="W32" s="14">
        <v>255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E33" s="11" t="s">
        <v>163</v>
      </c>
      <c r="V33" s="28" t="s">
        <v>63</v>
      </c>
      <c r="X33" s="14" t="s">
        <v>64</v>
      </c>
      <c r="Y33" s="14" t="s">
        <v>64</v>
      </c>
    </row>
    <row r="34" spans="1:25" x14ac:dyDescent="0.15">
      <c r="A34" s="11">
        <f t="shared" si="0"/>
        <v>30</v>
      </c>
      <c r="E34" s="11" t="s">
        <v>164</v>
      </c>
      <c r="V34" s="28" t="s">
        <v>63</v>
      </c>
      <c r="X34" s="14" t="s">
        <v>64</v>
      </c>
      <c r="Y34" s="14" t="s">
        <v>64</v>
      </c>
    </row>
    <row r="35" spans="1:25" x14ac:dyDescent="0.15">
      <c r="A35" s="11">
        <f t="shared" si="0"/>
        <v>31</v>
      </c>
      <c r="E35" s="11" t="s">
        <v>92</v>
      </c>
      <c r="V35" s="28" t="s">
        <v>56</v>
      </c>
      <c r="W35" s="14">
        <v>255</v>
      </c>
      <c r="X35" s="14" t="s">
        <v>60</v>
      </c>
      <c r="Y35" s="14" t="s">
        <v>58</v>
      </c>
    </row>
    <row r="36" spans="1:25" x14ac:dyDescent="0.15">
      <c r="A36" s="11">
        <f t="shared" si="0"/>
        <v>32</v>
      </c>
      <c r="E36" s="11" t="s">
        <v>165</v>
      </c>
      <c r="V36" s="28" t="s">
        <v>89</v>
      </c>
      <c r="X36" s="14" t="s">
        <v>60</v>
      </c>
      <c r="Y36" s="14" t="s">
        <v>64</v>
      </c>
    </row>
    <row r="37" spans="1:25" x14ac:dyDescent="0.15">
      <c r="A37" s="11">
        <f t="shared" si="0"/>
        <v>33</v>
      </c>
      <c r="E37" s="11" t="s">
        <v>166</v>
      </c>
      <c r="V37" s="28" t="s">
        <v>89</v>
      </c>
      <c r="X37" s="14" t="s">
        <v>60</v>
      </c>
      <c r="Y37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A1:AC25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7" t="s">
        <v>3</v>
      </c>
      <c r="B1" s="68"/>
      <c r="C1" s="55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7"/>
      <c r="V1" s="61" t="s">
        <v>4</v>
      </c>
      <c r="W1" s="50"/>
      <c r="X1" s="50"/>
      <c r="Y1" s="50"/>
      <c r="Z1" s="50"/>
      <c r="AA1" s="50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6" t="s">
        <v>49</v>
      </c>
      <c r="B2" s="47"/>
      <c r="C2" s="58" t="s">
        <v>273</v>
      </c>
      <c r="D2" s="59"/>
      <c r="E2" s="60"/>
      <c r="F2" s="63" t="s">
        <v>5</v>
      </c>
      <c r="G2" s="65" t="s">
        <v>47</v>
      </c>
      <c r="H2" s="65"/>
      <c r="I2" s="65"/>
      <c r="J2" s="65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2"/>
      <c r="W2" s="51"/>
      <c r="X2" s="51"/>
      <c r="Y2" s="51"/>
      <c r="Z2" s="51"/>
      <c r="AA2" s="51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2" t="s">
        <v>0</v>
      </c>
      <c r="C3" s="53"/>
      <c r="D3" s="54"/>
      <c r="E3" s="25" t="s">
        <v>53</v>
      </c>
      <c r="F3" s="64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8" t="s">
        <v>2</v>
      </c>
      <c r="AA3" s="49"/>
    </row>
    <row r="4" spans="1:29" s="11" customFormat="1" ht="11.25" customHeight="1" x14ac:dyDescent="0.15">
      <c r="A4" s="7">
        <f t="shared" ref="A4:A24" si="0">ROW()-4</f>
        <v>0</v>
      </c>
      <c r="B4" s="24"/>
      <c r="C4" s="13"/>
      <c r="D4" s="13"/>
      <c r="E4" s="8" t="s">
        <v>92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ht="22.5" x14ac:dyDescent="0.15">
      <c r="A5" s="12">
        <f t="shared" si="0"/>
        <v>1</v>
      </c>
      <c r="B5" s="13"/>
      <c r="C5" s="13"/>
      <c r="D5" s="13"/>
      <c r="E5" s="8" t="s">
        <v>274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63</v>
      </c>
      <c r="W5" s="9"/>
      <c r="X5" s="9" t="s">
        <v>64</v>
      </c>
      <c r="Y5" s="9" t="s">
        <v>64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275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63</v>
      </c>
      <c r="W6" s="9"/>
      <c r="X6" s="9" t="s">
        <v>64</v>
      </c>
      <c r="Y6" s="9" t="s">
        <v>64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276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277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80</v>
      </c>
      <c r="W10" s="9"/>
      <c r="X10" s="9" t="s">
        <v>60</v>
      </c>
      <c r="Y10" s="9" t="s">
        <v>64</v>
      </c>
      <c r="Z10" s="10"/>
      <c r="AA10" s="10"/>
    </row>
    <row r="11" spans="1:29" s="11" customFormat="1" ht="11.25" customHeight="1" x14ac:dyDescent="0.15">
      <c r="A11" s="12">
        <f t="shared" si="0"/>
        <v>7</v>
      </c>
      <c r="B11" s="30"/>
      <c r="C11" s="30"/>
      <c r="D11" s="30"/>
      <c r="E11" s="8" t="s">
        <v>674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278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30"/>
      <c r="C13" s="30"/>
      <c r="D13" s="30"/>
      <c r="E13" s="8" t="s">
        <v>675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80</v>
      </c>
      <c r="W13" s="9"/>
      <c r="X13" s="9" t="s">
        <v>60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3"/>
      <c r="D14" s="13"/>
      <c r="E14" s="8" t="s">
        <v>112</v>
      </c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17" t="s">
        <v>56</v>
      </c>
      <c r="W14" s="9">
        <v>255</v>
      </c>
      <c r="X14" s="9" t="s">
        <v>60</v>
      </c>
      <c r="Y14" s="9" t="s">
        <v>58</v>
      </c>
      <c r="Z14" s="10"/>
      <c r="AA14" s="10"/>
    </row>
    <row r="15" spans="1:29" s="11" customFormat="1" x14ac:dyDescent="0.15">
      <c r="A15" s="12">
        <f t="shared" si="0"/>
        <v>11</v>
      </c>
      <c r="B15" s="13"/>
      <c r="C15" s="13"/>
      <c r="D15" s="13"/>
      <c r="E15" s="8" t="s">
        <v>279</v>
      </c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17" t="s">
        <v>56</v>
      </c>
      <c r="W15" s="9">
        <v>255</v>
      </c>
      <c r="X15" s="9" t="s">
        <v>60</v>
      </c>
      <c r="Y15" s="9" t="s">
        <v>58</v>
      </c>
      <c r="Z15" s="10"/>
      <c r="AA15" s="10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280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255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2">
        <f t="shared" si="0"/>
        <v>13</v>
      </c>
      <c r="B17" s="13"/>
      <c r="C17" s="28"/>
      <c r="D17" s="28"/>
      <c r="E17" s="11" t="s">
        <v>281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255</v>
      </c>
      <c r="X17" s="14" t="s">
        <v>60</v>
      </c>
      <c r="Y17" s="14" t="s">
        <v>58</v>
      </c>
      <c r="Z17" s="15"/>
      <c r="AA17" s="15"/>
    </row>
    <row r="18" spans="1:27" s="11" customFormat="1" x14ac:dyDescent="0.15">
      <c r="A18" s="12">
        <f t="shared" si="0"/>
        <v>14</v>
      </c>
      <c r="B18" s="13"/>
      <c r="C18" s="28"/>
      <c r="D18" s="28"/>
      <c r="E18" s="11" t="s">
        <v>282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56</v>
      </c>
      <c r="W18" s="14">
        <v>255</v>
      </c>
      <c r="X18" s="14" t="s">
        <v>60</v>
      </c>
      <c r="Y18" s="14" t="s">
        <v>58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283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255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284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255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285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63</v>
      </c>
      <c r="W21" s="14"/>
      <c r="X21" s="14" t="s">
        <v>64</v>
      </c>
      <c r="Y21" s="14" t="s">
        <v>64</v>
      </c>
      <c r="Z21" s="15"/>
      <c r="AA21" s="15"/>
    </row>
    <row r="22" spans="1:27" s="11" customFormat="1" x14ac:dyDescent="0.15">
      <c r="A22" s="11">
        <f t="shared" si="0"/>
        <v>18</v>
      </c>
      <c r="B22" s="28"/>
      <c r="C22" s="28"/>
      <c r="D22" s="28"/>
      <c r="E22" s="11" t="s">
        <v>286</v>
      </c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28" t="s">
        <v>63</v>
      </c>
      <c r="W22" s="14"/>
      <c r="X22" s="14" t="s">
        <v>64</v>
      </c>
      <c r="Y22" s="14" t="s">
        <v>64</v>
      </c>
      <c r="Z22" s="15"/>
      <c r="AA22" s="15"/>
    </row>
    <row r="23" spans="1:27" s="11" customFormat="1" x14ac:dyDescent="0.15">
      <c r="A23" s="11">
        <f t="shared" si="0"/>
        <v>19</v>
      </c>
      <c r="B23" s="28"/>
      <c r="C23" s="28"/>
      <c r="D23" s="28"/>
      <c r="E23" s="11" t="s">
        <v>287</v>
      </c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28" t="s">
        <v>63</v>
      </c>
      <c r="W23" s="14"/>
      <c r="X23" s="14" t="s">
        <v>64</v>
      </c>
      <c r="Y23" s="14" t="s">
        <v>64</v>
      </c>
      <c r="Z23" s="15"/>
      <c r="AA23" s="15"/>
    </row>
    <row r="24" spans="1:27" x14ac:dyDescent="0.15">
      <c r="A24" s="11">
        <f t="shared" si="0"/>
        <v>20</v>
      </c>
      <c r="E24" s="11" t="s">
        <v>288</v>
      </c>
      <c r="V24" s="28" t="s">
        <v>80</v>
      </c>
      <c r="X24" s="14" t="s">
        <v>60</v>
      </c>
      <c r="Y24" s="14" t="s">
        <v>64</v>
      </c>
    </row>
    <row r="25" spans="1:27" x14ac:dyDescent="0.15">
      <c r="V25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38 A1:A1048576"/>
    <dataValidation type="whole" imeMode="off" operator="greaterThanOrEqual" allowBlank="1" showInputMessage="1" showErrorMessage="1" sqref="W3:W65538 F2:U65538">
      <formula1>1</formula1>
    </dataValidation>
    <dataValidation type="list" imeMode="on" allowBlank="1" showInputMessage="1" showErrorMessage="1" sqref="X4:X65538">
      <formula1>INDIRECT($AC$1,FALSE)</formula1>
    </dataValidation>
    <dataValidation type="list" allowBlank="1" showInputMessage="1" showErrorMessage="1" sqref="Y4:Y65538">
      <formula1>INDIRECT($AC$2,FALSE)</formula1>
    </dataValidation>
    <dataValidation type="list" allowBlank="1" showInputMessage="1" showErrorMessage="1" sqref="V4:V65538">
      <formula1>INDIRECT($AB$1,FALSE)</formula1>
    </dataValidation>
    <dataValidation imeMode="on" allowBlank="1" showInputMessage="1" showErrorMessage="1" sqref="W1:AA2 Z4:AA65538 C3:D9 B9 B1:B4 B10:D65538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/>
  <dimension ref="A1:AC2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7" t="s">
        <v>3</v>
      </c>
      <c r="B1" s="68"/>
      <c r="C1" s="55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7"/>
      <c r="V1" s="61" t="s">
        <v>4</v>
      </c>
      <c r="W1" s="50"/>
      <c r="X1" s="50"/>
      <c r="Y1" s="50"/>
      <c r="Z1" s="50"/>
      <c r="AA1" s="50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6" t="s">
        <v>49</v>
      </c>
      <c r="B2" s="47"/>
      <c r="C2" s="58" t="s">
        <v>224</v>
      </c>
      <c r="D2" s="59"/>
      <c r="E2" s="60"/>
      <c r="F2" s="63" t="s">
        <v>5</v>
      </c>
      <c r="G2" s="65" t="s">
        <v>47</v>
      </c>
      <c r="H2" s="65"/>
      <c r="I2" s="65"/>
      <c r="J2" s="65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2"/>
      <c r="W2" s="51"/>
      <c r="X2" s="51"/>
      <c r="Y2" s="51"/>
      <c r="Z2" s="51"/>
      <c r="AA2" s="51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2" t="s">
        <v>0</v>
      </c>
      <c r="C3" s="53"/>
      <c r="D3" s="54"/>
      <c r="E3" s="25" t="s">
        <v>53</v>
      </c>
      <c r="F3" s="64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8" t="s">
        <v>2</v>
      </c>
      <c r="AA3" s="49"/>
    </row>
    <row r="4" spans="1:29" s="11" customFormat="1" ht="11.25" customHeight="1" x14ac:dyDescent="0.15">
      <c r="A4" s="7">
        <f t="shared" ref="A4:A24" si="0">ROW()-4</f>
        <v>0</v>
      </c>
      <c r="B4" s="24"/>
      <c r="C4" s="13"/>
      <c r="D4" s="13"/>
      <c r="E4" s="8" t="s">
        <v>225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98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63</v>
      </c>
      <c r="W5" s="9"/>
      <c r="X5" s="9" t="s">
        <v>64</v>
      </c>
      <c r="Y5" s="9" t="s">
        <v>64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76</v>
      </c>
      <c r="F6" s="9"/>
      <c r="G6" s="9">
        <v>1</v>
      </c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77</v>
      </c>
      <c r="F7" s="9"/>
      <c r="G7" s="9"/>
      <c r="H7" s="9">
        <v>1</v>
      </c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78</v>
      </c>
      <c r="F8" s="9"/>
      <c r="G8" s="9"/>
      <c r="H8" s="9"/>
      <c r="I8" s="9">
        <v>1</v>
      </c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10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94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50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91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156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226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72</v>
      </c>
      <c r="W13" s="9"/>
      <c r="X13" s="9" t="s">
        <v>60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167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20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227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255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228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20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229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255</v>
      </c>
      <c r="X17" s="14" t="s">
        <v>60</v>
      </c>
      <c r="Y17" s="14" t="s">
        <v>58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73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72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230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255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231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72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232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72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233</v>
      </c>
      <c r="V22" s="28" t="s">
        <v>56</v>
      </c>
      <c r="W22" s="14">
        <v>255</v>
      </c>
      <c r="X22" s="14" t="s">
        <v>60</v>
      </c>
      <c r="Y22" s="14" t="s">
        <v>58</v>
      </c>
    </row>
    <row r="23" spans="1:27" x14ac:dyDescent="0.15">
      <c r="A23" s="11">
        <f t="shared" si="0"/>
        <v>19</v>
      </c>
      <c r="E23" s="11" t="s">
        <v>234</v>
      </c>
      <c r="V23" s="17" t="s">
        <v>72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235</v>
      </c>
      <c r="V24" s="28" t="s">
        <v>72</v>
      </c>
      <c r="X24" s="14" t="s">
        <v>60</v>
      </c>
      <c r="Y24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C23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7" t="s">
        <v>3</v>
      </c>
      <c r="B1" s="68"/>
      <c r="C1" s="55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7"/>
      <c r="V1" s="61" t="s">
        <v>4</v>
      </c>
      <c r="W1" s="50"/>
      <c r="X1" s="50"/>
      <c r="Y1" s="50"/>
      <c r="Z1" s="50"/>
      <c r="AA1" s="50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6" t="s">
        <v>49</v>
      </c>
      <c r="B2" s="47"/>
      <c r="C2" s="58" t="s">
        <v>330</v>
      </c>
      <c r="D2" s="59"/>
      <c r="E2" s="60"/>
      <c r="F2" s="63" t="s">
        <v>5</v>
      </c>
      <c r="G2" s="65" t="s">
        <v>47</v>
      </c>
      <c r="H2" s="65"/>
      <c r="I2" s="65"/>
      <c r="J2" s="65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2"/>
      <c r="W2" s="51"/>
      <c r="X2" s="51"/>
      <c r="Y2" s="51"/>
      <c r="Z2" s="51"/>
      <c r="AA2" s="51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2" t="s">
        <v>0</v>
      </c>
      <c r="C3" s="53"/>
      <c r="D3" s="54"/>
      <c r="E3" s="25" t="s">
        <v>53</v>
      </c>
      <c r="F3" s="64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8" t="s">
        <v>2</v>
      </c>
      <c r="AA3" s="49"/>
    </row>
    <row r="4" spans="1:29" s="11" customFormat="1" ht="11.25" customHeight="1" x14ac:dyDescent="0.15">
      <c r="A4" s="7">
        <f t="shared" ref="A4:A12" si="0">ROW()-4</f>
        <v>0</v>
      </c>
      <c r="B4" s="24"/>
      <c r="C4" s="13"/>
      <c r="D4" s="13"/>
      <c r="E4" s="8" t="s">
        <v>331</v>
      </c>
      <c r="F4" s="9">
        <v>1</v>
      </c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30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94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332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3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333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4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334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100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335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63</v>
      </c>
      <c r="W12" s="9"/>
      <c r="X12" s="9" t="s">
        <v>64</v>
      </c>
      <c r="Y12" s="9" t="s">
        <v>64</v>
      </c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C23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7" t="s">
        <v>3</v>
      </c>
      <c r="B1" s="68"/>
      <c r="C1" s="55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7"/>
      <c r="V1" s="61" t="s">
        <v>4</v>
      </c>
      <c r="W1" s="50"/>
      <c r="X1" s="50"/>
      <c r="Y1" s="50"/>
      <c r="Z1" s="50"/>
      <c r="AA1" s="50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6" t="s">
        <v>49</v>
      </c>
      <c r="B2" s="47"/>
      <c r="C2" s="58" t="s">
        <v>289</v>
      </c>
      <c r="D2" s="59"/>
      <c r="E2" s="60"/>
      <c r="F2" s="63" t="s">
        <v>5</v>
      </c>
      <c r="G2" s="65" t="s">
        <v>47</v>
      </c>
      <c r="H2" s="65"/>
      <c r="I2" s="65"/>
      <c r="J2" s="65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2"/>
      <c r="W2" s="51"/>
      <c r="X2" s="51"/>
      <c r="Y2" s="51"/>
      <c r="Z2" s="51"/>
      <c r="AA2" s="51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2" t="s">
        <v>0</v>
      </c>
      <c r="C3" s="53"/>
      <c r="D3" s="54"/>
      <c r="E3" s="25" t="s">
        <v>53</v>
      </c>
      <c r="F3" s="64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8" t="s">
        <v>2</v>
      </c>
      <c r="AA3" s="49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76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77</v>
      </c>
      <c r="F5" s="9">
        <v>2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78</v>
      </c>
      <c r="F6" s="9">
        <v>3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ht="22.5" x14ac:dyDescent="0.15">
      <c r="A7" s="12">
        <f>ROW()-4</f>
        <v>3</v>
      </c>
      <c r="B7" s="13"/>
      <c r="C7" s="13"/>
      <c r="D7" s="13"/>
      <c r="E7" s="8" t="s">
        <v>290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80</v>
      </c>
      <c r="W7" s="9"/>
      <c r="X7" s="9" t="s">
        <v>60</v>
      </c>
      <c r="Y7" s="9" t="s">
        <v>64</v>
      </c>
      <c r="Z7" s="10"/>
      <c r="AA7" s="10"/>
    </row>
    <row r="8" spans="1:29" s="11" customFormat="1" ht="22.5" x14ac:dyDescent="0.15">
      <c r="A8" s="12">
        <f>ROW()-4</f>
        <v>4</v>
      </c>
      <c r="B8" s="13"/>
      <c r="C8" s="13"/>
      <c r="D8" s="13"/>
      <c r="E8" s="8" t="s">
        <v>291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C35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7" t="s">
        <v>3</v>
      </c>
      <c r="B1" s="68"/>
      <c r="C1" s="55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7"/>
      <c r="V1" s="61" t="s">
        <v>4</v>
      </c>
      <c r="W1" s="50"/>
      <c r="X1" s="50"/>
      <c r="Y1" s="50"/>
      <c r="Z1" s="50"/>
      <c r="AA1" s="50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6" t="s">
        <v>49</v>
      </c>
      <c r="B2" s="47"/>
      <c r="C2" s="58" t="s">
        <v>292</v>
      </c>
      <c r="D2" s="59"/>
      <c r="E2" s="60"/>
      <c r="F2" s="63" t="s">
        <v>5</v>
      </c>
      <c r="G2" s="65" t="s">
        <v>47</v>
      </c>
      <c r="H2" s="65"/>
      <c r="I2" s="65"/>
      <c r="J2" s="65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2"/>
      <c r="W2" s="51"/>
      <c r="X2" s="51"/>
      <c r="Y2" s="51"/>
      <c r="Z2" s="51"/>
      <c r="AA2" s="51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2" t="s">
        <v>0</v>
      </c>
      <c r="C3" s="53"/>
      <c r="D3" s="54"/>
      <c r="E3" s="25" t="s">
        <v>53</v>
      </c>
      <c r="F3" s="64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8" t="s">
        <v>2</v>
      </c>
      <c r="AA3" s="49"/>
    </row>
    <row r="4" spans="1:29" s="11" customFormat="1" ht="11.25" customHeight="1" x14ac:dyDescent="0.15">
      <c r="A4" s="7">
        <f t="shared" ref="A4:A35" si="0">ROW()-4</f>
        <v>0</v>
      </c>
      <c r="B4" s="24"/>
      <c r="C4" s="13"/>
      <c r="D4" s="13"/>
      <c r="E4" s="8" t="s">
        <v>76</v>
      </c>
      <c r="F4" s="9">
        <v>1</v>
      </c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>
        <v>2</v>
      </c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>
        <v>3</v>
      </c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>
        <v>4</v>
      </c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57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95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179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100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293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80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294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80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295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96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86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97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89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98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99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100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101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106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107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108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109</v>
      </c>
      <c r="V27" s="2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175</v>
      </c>
      <c r="V28" s="28" t="s">
        <v>80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112</v>
      </c>
      <c r="V29" s="28" t="s">
        <v>56</v>
      </c>
      <c r="W29" s="14">
        <v>255</v>
      </c>
      <c r="X29" s="14" t="s">
        <v>60</v>
      </c>
      <c r="Y29" s="14" t="s">
        <v>58</v>
      </c>
    </row>
    <row r="30" spans="1:27" x14ac:dyDescent="0.15">
      <c r="A30" s="11">
        <f t="shared" si="0"/>
        <v>26</v>
      </c>
      <c r="E30" s="11" t="s">
        <v>296</v>
      </c>
      <c r="V30" s="28" t="s">
        <v>56</v>
      </c>
      <c r="W30" s="14">
        <v>255</v>
      </c>
      <c r="X30" s="14" t="s">
        <v>60</v>
      </c>
      <c r="Y30" s="14" t="s">
        <v>58</v>
      </c>
    </row>
    <row r="31" spans="1:27" x14ac:dyDescent="0.15">
      <c r="A31" s="11">
        <f t="shared" si="0"/>
        <v>27</v>
      </c>
      <c r="E31" s="11" t="s">
        <v>297</v>
      </c>
      <c r="V31" s="28" t="s">
        <v>56</v>
      </c>
      <c r="W31" s="14">
        <v>255</v>
      </c>
      <c r="X31" s="14" t="s">
        <v>60</v>
      </c>
      <c r="Y31" s="14" t="s">
        <v>58</v>
      </c>
    </row>
    <row r="32" spans="1:27" x14ac:dyDescent="0.15">
      <c r="A32" s="11">
        <f t="shared" si="0"/>
        <v>28</v>
      </c>
      <c r="E32" s="11" t="s">
        <v>298</v>
      </c>
      <c r="V32" s="28" t="s">
        <v>56</v>
      </c>
      <c r="W32" s="14">
        <v>3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E33" s="11" t="s">
        <v>110</v>
      </c>
      <c r="V33" s="28" t="s">
        <v>56</v>
      </c>
      <c r="W33" s="14">
        <v>255</v>
      </c>
      <c r="X33" s="14" t="s">
        <v>60</v>
      </c>
      <c r="Y33" s="14" t="s">
        <v>58</v>
      </c>
    </row>
    <row r="34" spans="1:25" x14ac:dyDescent="0.15">
      <c r="A34" s="11">
        <f t="shared" si="0"/>
        <v>30</v>
      </c>
      <c r="E34" s="11" t="s">
        <v>71</v>
      </c>
      <c r="V34" s="28" t="s">
        <v>24</v>
      </c>
      <c r="X34" s="14" t="s">
        <v>60</v>
      </c>
      <c r="Y34" s="14" t="s">
        <v>64</v>
      </c>
    </row>
    <row r="35" spans="1:25" x14ac:dyDescent="0.15">
      <c r="A35" s="11">
        <f t="shared" si="0"/>
        <v>31</v>
      </c>
      <c r="E35" s="11" t="s">
        <v>698</v>
      </c>
      <c r="V35" s="38" t="s">
        <v>24</v>
      </c>
      <c r="X35" s="14" t="s">
        <v>60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36 A1:A1048576"/>
    <dataValidation type="whole" imeMode="off" operator="greaterThanOrEqual" allowBlank="1" showInputMessage="1" showErrorMessage="1" sqref="F2:U65536 W3:W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7" t="s">
        <v>3</v>
      </c>
      <c r="B1" s="68"/>
      <c r="C1" s="55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7"/>
      <c r="V1" s="61" t="s">
        <v>4</v>
      </c>
      <c r="W1" s="50"/>
      <c r="X1" s="50"/>
      <c r="Y1" s="50"/>
      <c r="Z1" s="50"/>
      <c r="AA1" s="50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6" t="s">
        <v>49</v>
      </c>
      <c r="B2" s="47"/>
      <c r="C2" s="58" t="s">
        <v>301</v>
      </c>
      <c r="D2" s="59"/>
      <c r="E2" s="60"/>
      <c r="F2" s="63" t="s">
        <v>5</v>
      </c>
      <c r="G2" s="65" t="s">
        <v>47</v>
      </c>
      <c r="H2" s="65"/>
      <c r="I2" s="65"/>
      <c r="J2" s="65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2"/>
      <c r="W2" s="51"/>
      <c r="X2" s="51"/>
      <c r="Y2" s="51"/>
      <c r="Z2" s="51"/>
      <c r="AA2" s="51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2" t="s">
        <v>0</v>
      </c>
      <c r="C3" s="53"/>
      <c r="D3" s="54"/>
      <c r="E3" s="25" t="s">
        <v>53</v>
      </c>
      <c r="F3" s="64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8" t="s">
        <v>2</v>
      </c>
      <c r="AA3" s="49"/>
    </row>
    <row r="4" spans="1:29" s="11" customFormat="1" ht="11.25" customHeight="1" x14ac:dyDescent="0.15">
      <c r="A4" s="7">
        <f t="shared" ref="A4:A9" si="0">ROW()-4</f>
        <v>0</v>
      </c>
      <c r="B4" s="24"/>
      <c r="C4" s="13"/>
      <c r="D4" s="13"/>
      <c r="E4" s="8" t="s">
        <v>302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30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303</v>
      </c>
      <c r="F5" s="9">
        <v>2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304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100</v>
      </c>
      <c r="X6" s="9" t="s">
        <v>57</v>
      </c>
      <c r="Y6" s="9" t="s">
        <v>114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305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80</v>
      </c>
      <c r="W7" s="9"/>
      <c r="X7" s="9" t="s">
        <v>60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306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307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C29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7" t="s">
        <v>3</v>
      </c>
      <c r="B1" s="68"/>
      <c r="C1" s="55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7"/>
      <c r="V1" s="61" t="s">
        <v>4</v>
      </c>
      <c r="W1" s="50"/>
      <c r="X1" s="50"/>
      <c r="Y1" s="50"/>
      <c r="Z1" s="50"/>
      <c r="AA1" s="50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6" t="s">
        <v>49</v>
      </c>
      <c r="B2" s="47"/>
      <c r="C2" s="58" t="s">
        <v>308</v>
      </c>
      <c r="D2" s="59"/>
      <c r="E2" s="60"/>
      <c r="F2" s="63" t="s">
        <v>5</v>
      </c>
      <c r="G2" s="65" t="s">
        <v>47</v>
      </c>
      <c r="H2" s="65"/>
      <c r="I2" s="65"/>
      <c r="J2" s="65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2"/>
      <c r="W2" s="51"/>
      <c r="X2" s="51"/>
      <c r="Y2" s="51"/>
      <c r="Z2" s="51"/>
      <c r="AA2" s="51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2" t="s">
        <v>0</v>
      </c>
      <c r="C3" s="53"/>
      <c r="D3" s="54"/>
      <c r="E3" s="25" t="s">
        <v>53</v>
      </c>
      <c r="F3" s="64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8" t="s">
        <v>2</v>
      </c>
      <c r="AA3" s="49"/>
    </row>
    <row r="4" spans="1:29" s="11" customFormat="1" ht="11.25" customHeight="1" x14ac:dyDescent="0.15">
      <c r="A4" s="7">
        <f t="shared" ref="A4:A29" si="0">ROW()-4</f>
        <v>0</v>
      </c>
      <c r="B4" s="24"/>
      <c r="C4" s="13"/>
      <c r="D4" s="13"/>
      <c r="E4" s="8" t="s">
        <v>94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50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114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>
        <v>1</v>
      </c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114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>
        <v>1</v>
      </c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114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309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50</v>
      </c>
      <c r="X8" s="9" t="s">
        <v>60</v>
      </c>
      <c r="Y8" s="9" t="s">
        <v>114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79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91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114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310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100</v>
      </c>
      <c r="X11" s="9" t="s">
        <v>60</v>
      </c>
      <c r="Y11" s="9" t="s">
        <v>114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92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100</v>
      </c>
      <c r="X12" s="9" t="s">
        <v>60</v>
      </c>
      <c r="Y12" s="9" t="s">
        <v>114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311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50</v>
      </c>
      <c r="X13" s="9" t="s">
        <v>60</v>
      </c>
      <c r="Y13" s="9" t="s">
        <v>114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312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50</v>
      </c>
      <c r="X14" s="14" t="s">
        <v>60</v>
      </c>
      <c r="Y14" s="14" t="s">
        <v>114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167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50</v>
      </c>
      <c r="X15" s="14" t="s">
        <v>60</v>
      </c>
      <c r="Y15" s="14" t="s">
        <v>114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156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50</v>
      </c>
      <c r="X16" s="14" t="s">
        <v>60</v>
      </c>
      <c r="Y16" s="14" t="s">
        <v>114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259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100</v>
      </c>
      <c r="X17" s="14" t="s">
        <v>60</v>
      </c>
      <c r="Y17" s="14" t="s">
        <v>114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313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56</v>
      </c>
      <c r="W18" s="14">
        <v>5</v>
      </c>
      <c r="X18" s="14" t="s">
        <v>60</v>
      </c>
      <c r="Y18" s="14" t="s">
        <v>58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314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10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315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238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316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238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317</v>
      </c>
      <c r="V22" s="28" t="s">
        <v>238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95</v>
      </c>
      <c r="V23" s="17" t="s">
        <v>238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B24" s="70" t="s">
        <v>318</v>
      </c>
      <c r="C24" s="70"/>
      <c r="D24" s="70"/>
      <c r="E24" s="11" t="s">
        <v>319</v>
      </c>
      <c r="V24" s="28" t="s">
        <v>238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B25" s="70" t="s">
        <v>320</v>
      </c>
      <c r="C25" s="70"/>
      <c r="D25" s="70"/>
      <c r="E25" s="11" t="s">
        <v>271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321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322</v>
      </c>
      <c r="V27" s="28" t="s">
        <v>56</v>
      </c>
      <c r="W27" s="14">
        <v>3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323</v>
      </c>
      <c r="V28" s="28" t="s">
        <v>80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226</v>
      </c>
      <c r="V29" s="28" t="s">
        <v>80</v>
      </c>
      <c r="X29" s="14" t="s">
        <v>60</v>
      </c>
      <c r="Y29" s="14" t="s">
        <v>64</v>
      </c>
    </row>
  </sheetData>
  <mergeCells count="12">
    <mergeCell ref="B24:D24"/>
    <mergeCell ref="B25:D25"/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C1:U1 B10:B65536 C10:D23 C26:D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C23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7" t="s">
        <v>3</v>
      </c>
      <c r="B1" s="68"/>
      <c r="C1" s="55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7"/>
      <c r="V1" s="61" t="s">
        <v>4</v>
      </c>
      <c r="W1" s="50"/>
      <c r="X1" s="50"/>
      <c r="Y1" s="50"/>
      <c r="Z1" s="50"/>
      <c r="AA1" s="50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6" t="s">
        <v>49</v>
      </c>
      <c r="B2" s="47"/>
      <c r="C2" s="58" t="s">
        <v>324</v>
      </c>
      <c r="D2" s="59"/>
      <c r="E2" s="60"/>
      <c r="F2" s="63" t="s">
        <v>5</v>
      </c>
      <c r="G2" s="65" t="s">
        <v>47</v>
      </c>
      <c r="H2" s="65"/>
      <c r="I2" s="65"/>
      <c r="J2" s="65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2"/>
      <c r="W2" s="51"/>
      <c r="X2" s="51"/>
      <c r="Y2" s="51"/>
      <c r="Z2" s="51"/>
      <c r="AA2" s="51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2" t="s">
        <v>0</v>
      </c>
      <c r="C3" s="53"/>
      <c r="D3" s="54"/>
      <c r="E3" s="25" t="s">
        <v>53</v>
      </c>
      <c r="F3" s="64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8" t="s">
        <v>2</v>
      </c>
      <c r="AA3" s="49"/>
    </row>
    <row r="4" spans="1:29" s="11" customFormat="1" ht="11.25" customHeight="1" x14ac:dyDescent="0.15">
      <c r="A4" s="7">
        <f t="shared" ref="A4:A10" si="0">ROW()-4</f>
        <v>0</v>
      </c>
      <c r="B4" s="24"/>
      <c r="C4" s="13"/>
      <c r="D4" s="13"/>
      <c r="E4" s="8" t="s">
        <v>325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57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326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80</v>
      </c>
      <c r="W5" s="9"/>
      <c r="X5" s="9" t="s">
        <v>60</v>
      </c>
      <c r="Y5" s="9" t="s">
        <v>64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167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50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226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80</v>
      </c>
      <c r="W7" s="9"/>
      <c r="X7" s="9" t="s">
        <v>60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327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328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329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C185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7" t="s">
        <v>3</v>
      </c>
      <c r="B1" s="68"/>
      <c r="C1" s="55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7"/>
      <c r="V1" s="61" t="s">
        <v>4</v>
      </c>
      <c r="W1" s="50"/>
      <c r="X1" s="50"/>
      <c r="Y1" s="50"/>
      <c r="Z1" s="50"/>
      <c r="AA1" s="50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6" t="s">
        <v>49</v>
      </c>
      <c r="B2" s="47"/>
      <c r="C2" s="58" t="s">
        <v>336</v>
      </c>
      <c r="D2" s="59"/>
      <c r="E2" s="60"/>
      <c r="F2" s="63" t="s">
        <v>5</v>
      </c>
      <c r="G2" s="65" t="s">
        <v>47</v>
      </c>
      <c r="H2" s="65"/>
      <c r="I2" s="65"/>
      <c r="J2" s="65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2"/>
      <c r="W2" s="51"/>
      <c r="X2" s="51"/>
      <c r="Y2" s="51"/>
      <c r="Z2" s="51"/>
      <c r="AA2" s="51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2" t="s">
        <v>0</v>
      </c>
      <c r="C3" s="53"/>
      <c r="D3" s="54"/>
      <c r="E3" s="25" t="s">
        <v>53</v>
      </c>
      <c r="F3" s="64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8" t="s">
        <v>2</v>
      </c>
      <c r="AA3" s="49"/>
    </row>
    <row r="4" spans="1:29" s="11" customFormat="1" ht="11.25" customHeight="1" x14ac:dyDescent="0.15">
      <c r="A4" s="7">
        <f t="shared" ref="A4:A35" si="0">ROW()-4</f>
        <v>0</v>
      </c>
      <c r="B4" s="24"/>
      <c r="C4" s="13"/>
      <c r="D4" s="13"/>
      <c r="E4" s="8" t="s">
        <v>319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94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30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76</v>
      </c>
      <c r="F6" s="9"/>
      <c r="G6" s="9"/>
      <c r="H6" s="9">
        <v>1</v>
      </c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77</v>
      </c>
      <c r="F7" s="9"/>
      <c r="G7" s="9"/>
      <c r="H7" s="9"/>
      <c r="I7" s="9"/>
      <c r="J7" s="9">
        <v>1</v>
      </c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78</v>
      </c>
      <c r="F8" s="9"/>
      <c r="G8" s="9"/>
      <c r="H8" s="9"/>
      <c r="I8" s="9"/>
      <c r="J8" s="9"/>
      <c r="K8" s="9">
        <v>1</v>
      </c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10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50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70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337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100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314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10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338</v>
      </c>
      <c r="F15" s="14"/>
      <c r="G15" s="14"/>
      <c r="H15" s="14"/>
      <c r="I15" s="14">
        <v>1</v>
      </c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20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167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50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128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226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339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298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3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313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56</v>
      </c>
      <c r="W21" s="14">
        <v>3</v>
      </c>
      <c r="X21" s="14" t="s">
        <v>60</v>
      </c>
      <c r="Y21" s="14" t="s">
        <v>58</v>
      </c>
      <c r="Z21" s="15"/>
      <c r="AA21" s="15"/>
    </row>
    <row r="22" spans="1:27" x14ac:dyDescent="0.15">
      <c r="A22" s="11">
        <f t="shared" si="0"/>
        <v>18</v>
      </c>
      <c r="E22" s="11" t="s">
        <v>340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341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342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343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344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345</v>
      </c>
      <c r="V27" s="28" t="s">
        <v>56</v>
      </c>
      <c r="W27" s="14">
        <v>3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73</v>
      </c>
      <c r="V28" s="28" t="s">
        <v>72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71</v>
      </c>
      <c r="V29" s="28" t="s">
        <v>72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74</v>
      </c>
      <c r="V30" s="28" t="s">
        <v>72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228</v>
      </c>
      <c r="V31" s="28" t="s">
        <v>56</v>
      </c>
      <c r="W31" s="14">
        <v>10</v>
      </c>
      <c r="X31" s="14" t="s">
        <v>60</v>
      </c>
      <c r="Y31" s="14" t="s">
        <v>58</v>
      </c>
    </row>
    <row r="32" spans="1:27" x14ac:dyDescent="0.15">
      <c r="A32" s="11">
        <f t="shared" si="0"/>
        <v>28</v>
      </c>
      <c r="E32" s="11" t="s">
        <v>346</v>
      </c>
      <c r="V32" s="28" t="s">
        <v>56</v>
      </c>
      <c r="W32" s="14">
        <v>10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E33" s="11" t="s">
        <v>347</v>
      </c>
      <c r="V33" s="28" t="s">
        <v>56</v>
      </c>
      <c r="W33" s="14">
        <v>10</v>
      </c>
      <c r="X33" s="14" t="s">
        <v>60</v>
      </c>
      <c r="Y33" s="14" t="s">
        <v>58</v>
      </c>
    </row>
    <row r="34" spans="1:25" x14ac:dyDescent="0.15">
      <c r="A34" s="11">
        <f t="shared" si="0"/>
        <v>30</v>
      </c>
      <c r="E34" s="11" t="s">
        <v>348</v>
      </c>
      <c r="V34" s="28" t="s">
        <v>72</v>
      </c>
      <c r="X34" s="14" t="s">
        <v>60</v>
      </c>
      <c r="Y34" s="14" t="s">
        <v>64</v>
      </c>
    </row>
    <row r="35" spans="1:25" x14ac:dyDescent="0.15">
      <c r="A35" s="11">
        <f t="shared" si="0"/>
        <v>31</v>
      </c>
      <c r="E35" s="11" t="s">
        <v>349</v>
      </c>
      <c r="V35" s="28" t="s">
        <v>56</v>
      </c>
      <c r="W35" s="14">
        <v>10</v>
      </c>
      <c r="X35" s="14" t="s">
        <v>60</v>
      </c>
      <c r="Y35" s="14" t="s">
        <v>58</v>
      </c>
    </row>
    <row r="36" spans="1:25" x14ac:dyDescent="0.15">
      <c r="A36" s="11">
        <f t="shared" ref="A36:A67" si="1">ROW()-4</f>
        <v>32</v>
      </c>
      <c r="E36" s="11" t="s">
        <v>350</v>
      </c>
      <c r="V36" s="28" t="s">
        <v>80</v>
      </c>
      <c r="X36" s="14" t="s">
        <v>60</v>
      </c>
      <c r="Y36" s="14" t="s">
        <v>64</v>
      </c>
    </row>
    <row r="37" spans="1:25" x14ac:dyDescent="0.15">
      <c r="A37" s="11">
        <f t="shared" si="1"/>
        <v>33</v>
      </c>
      <c r="E37" s="11" t="s">
        <v>351</v>
      </c>
      <c r="V37" s="28" t="s">
        <v>56</v>
      </c>
      <c r="W37" s="14">
        <v>10</v>
      </c>
      <c r="X37" s="14" t="s">
        <v>60</v>
      </c>
      <c r="Y37" s="14" t="s">
        <v>58</v>
      </c>
    </row>
    <row r="38" spans="1:25" x14ac:dyDescent="0.15">
      <c r="A38" s="11">
        <f t="shared" si="1"/>
        <v>34</v>
      </c>
      <c r="E38" s="11" t="s">
        <v>352</v>
      </c>
      <c r="V38" s="28" t="s">
        <v>80</v>
      </c>
      <c r="X38" s="14" t="s">
        <v>60</v>
      </c>
      <c r="Y38" s="14" t="s">
        <v>64</v>
      </c>
    </row>
    <row r="39" spans="1:25" x14ac:dyDescent="0.15">
      <c r="A39" s="11">
        <f t="shared" si="1"/>
        <v>35</v>
      </c>
      <c r="E39" s="11" t="s">
        <v>353</v>
      </c>
      <c r="V39" s="28" t="s">
        <v>72</v>
      </c>
      <c r="X39" s="14" t="s">
        <v>60</v>
      </c>
      <c r="Y39" s="14" t="s">
        <v>64</v>
      </c>
    </row>
    <row r="40" spans="1:25" x14ac:dyDescent="0.15">
      <c r="A40" s="11">
        <f t="shared" si="1"/>
        <v>36</v>
      </c>
      <c r="E40" s="11" t="s">
        <v>354</v>
      </c>
      <c r="V40" s="28" t="s">
        <v>72</v>
      </c>
      <c r="X40" s="14" t="s">
        <v>60</v>
      </c>
      <c r="Y40" s="14" t="s">
        <v>64</v>
      </c>
    </row>
    <row r="41" spans="1:25" x14ac:dyDescent="0.15">
      <c r="A41" s="11">
        <f t="shared" si="1"/>
        <v>37</v>
      </c>
      <c r="E41" s="11" t="s">
        <v>355</v>
      </c>
      <c r="V41" s="28" t="s">
        <v>72</v>
      </c>
      <c r="X41" s="14" t="s">
        <v>60</v>
      </c>
      <c r="Y41" s="14" t="s">
        <v>64</v>
      </c>
    </row>
    <row r="42" spans="1:25" x14ac:dyDescent="0.15">
      <c r="A42" s="11">
        <f t="shared" si="1"/>
        <v>38</v>
      </c>
      <c r="E42" s="11" t="s">
        <v>356</v>
      </c>
      <c r="V42" s="28" t="s">
        <v>72</v>
      </c>
      <c r="X42" s="14" t="s">
        <v>60</v>
      </c>
      <c r="Y42" s="14" t="s">
        <v>64</v>
      </c>
    </row>
    <row r="43" spans="1:25" x14ac:dyDescent="0.15">
      <c r="A43" s="11">
        <f t="shared" si="1"/>
        <v>39</v>
      </c>
      <c r="E43" s="11" t="s">
        <v>357</v>
      </c>
      <c r="V43" s="28" t="s">
        <v>72</v>
      </c>
      <c r="X43" s="14" t="s">
        <v>60</v>
      </c>
      <c r="Y43" s="14" t="s">
        <v>64</v>
      </c>
    </row>
    <row r="44" spans="1:25" x14ac:dyDescent="0.15">
      <c r="A44" s="11">
        <f t="shared" si="1"/>
        <v>40</v>
      </c>
      <c r="E44" s="11" t="s">
        <v>358</v>
      </c>
      <c r="V44" s="28" t="s">
        <v>72</v>
      </c>
      <c r="X44" s="14" t="s">
        <v>60</v>
      </c>
      <c r="Y44" s="14" t="s">
        <v>64</v>
      </c>
    </row>
    <row r="45" spans="1:25" x14ac:dyDescent="0.15">
      <c r="A45" s="11">
        <f t="shared" si="1"/>
        <v>41</v>
      </c>
      <c r="E45" s="11" t="s">
        <v>359</v>
      </c>
      <c r="V45" s="28" t="s">
        <v>72</v>
      </c>
      <c r="X45" s="14" t="s">
        <v>60</v>
      </c>
      <c r="Y45" s="14" t="s">
        <v>64</v>
      </c>
    </row>
    <row r="46" spans="1:25" x14ac:dyDescent="0.15">
      <c r="A46" s="11">
        <f t="shared" si="1"/>
        <v>42</v>
      </c>
      <c r="E46" s="11" t="s">
        <v>360</v>
      </c>
      <c r="V46" s="28" t="s">
        <v>72</v>
      </c>
      <c r="X46" s="14" t="s">
        <v>60</v>
      </c>
      <c r="Y46" s="14" t="s">
        <v>64</v>
      </c>
    </row>
    <row r="47" spans="1:25" x14ac:dyDescent="0.15">
      <c r="A47" s="11">
        <f t="shared" si="1"/>
        <v>43</v>
      </c>
      <c r="E47" s="11" t="s">
        <v>361</v>
      </c>
      <c r="V47" s="28" t="s">
        <v>72</v>
      </c>
      <c r="X47" s="14" t="s">
        <v>60</v>
      </c>
      <c r="Y47" s="14" t="s">
        <v>64</v>
      </c>
    </row>
    <row r="48" spans="1:25" x14ac:dyDescent="0.15">
      <c r="A48" s="11">
        <f t="shared" si="1"/>
        <v>44</v>
      </c>
      <c r="E48" s="11" t="s">
        <v>362</v>
      </c>
      <c r="V48" s="28" t="s">
        <v>72</v>
      </c>
      <c r="X48" s="14" t="s">
        <v>60</v>
      </c>
      <c r="Y48" s="14" t="s">
        <v>64</v>
      </c>
    </row>
    <row r="49" spans="1:25" x14ac:dyDescent="0.15">
      <c r="A49" s="11">
        <f t="shared" si="1"/>
        <v>45</v>
      </c>
      <c r="E49" s="11" t="s">
        <v>363</v>
      </c>
      <c r="V49" s="28" t="s">
        <v>72</v>
      </c>
      <c r="X49" s="14" t="s">
        <v>60</v>
      </c>
      <c r="Y49" s="14" t="s">
        <v>64</v>
      </c>
    </row>
    <row r="50" spans="1:25" x14ac:dyDescent="0.15">
      <c r="A50" s="11">
        <f t="shared" si="1"/>
        <v>46</v>
      </c>
      <c r="E50" s="11" t="s">
        <v>364</v>
      </c>
      <c r="V50" s="28" t="s">
        <v>72</v>
      </c>
      <c r="X50" s="14" t="s">
        <v>60</v>
      </c>
      <c r="Y50" s="14" t="s">
        <v>64</v>
      </c>
    </row>
    <row r="51" spans="1:25" x14ac:dyDescent="0.15">
      <c r="A51" s="11">
        <f t="shared" si="1"/>
        <v>47</v>
      </c>
      <c r="E51" s="11" t="s">
        <v>365</v>
      </c>
      <c r="V51" s="28" t="s">
        <v>72</v>
      </c>
      <c r="X51" s="14" t="s">
        <v>60</v>
      </c>
      <c r="Y51" s="14" t="s">
        <v>64</v>
      </c>
    </row>
    <row r="52" spans="1:25" x14ac:dyDescent="0.15">
      <c r="A52" s="11">
        <f t="shared" si="1"/>
        <v>48</v>
      </c>
      <c r="E52" s="11" t="s">
        <v>366</v>
      </c>
      <c r="V52" s="28" t="s">
        <v>72</v>
      </c>
      <c r="X52" s="14" t="s">
        <v>60</v>
      </c>
      <c r="Y52" s="14" t="s">
        <v>64</v>
      </c>
    </row>
    <row r="53" spans="1:25" x14ac:dyDescent="0.15">
      <c r="A53" s="11">
        <f t="shared" si="1"/>
        <v>49</v>
      </c>
      <c r="E53" s="11" t="s">
        <v>367</v>
      </c>
      <c r="V53" s="28" t="s">
        <v>72</v>
      </c>
      <c r="X53" s="14" t="s">
        <v>60</v>
      </c>
      <c r="Y53" s="14" t="s">
        <v>64</v>
      </c>
    </row>
    <row r="54" spans="1:25" x14ac:dyDescent="0.15">
      <c r="A54" s="11">
        <f t="shared" si="1"/>
        <v>50</v>
      </c>
      <c r="E54" s="11" t="s">
        <v>368</v>
      </c>
      <c r="V54" s="28" t="s">
        <v>72</v>
      </c>
      <c r="X54" s="14" t="s">
        <v>60</v>
      </c>
      <c r="Y54" s="14" t="s">
        <v>64</v>
      </c>
    </row>
    <row r="55" spans="1:25" x14ac:dyDescent="0.15">
      <c r="A55" s="11">
        <f t="shared" si="1"/>
        <v>51</v>
      </c>
      <c r="E55" s="11" t="s">
        <v>369</v>
      </c>
      <c r="V55" s="28" t="s">
        <v>72</v>
      </c>
      <c r="X55" s="14" t="s">
        <v>60</v>
      </c>
      <c r="Y55" s="14" t="s">
        <v>64</v>
      </c>
    </row>
    <row r="56" spans="1:25" x14ac:dyDescent="0.15">
      <c r="A56" s="11">
        <f t="shared" si="1"/>
        <v>52</v>
      </c>
      <c r="E56" s="11" t="s">
        <v>370</v>
      </c>
      <c r="V56" s="28" t="s">
        <v>72</v>
      </c>
      <c r="X56" s="14" t="s">
        <v>60</v>
      </c>
      <c r="Y56" s="14" t="s">
        <v>64</v>
      </c>
    </row>
    <row r="57" spans="1:25" x14ac:dyDescent="0.15">
      <c r="A57" s="11">
        <f t="shared" si="1"/>
        <v>53</v>
      </c>
      <c r="E57" s="11" t="s">
        <v>371</v>
      </c>
      <c r="V57" s="28" t="s">
        <v>72</v>
      </c>
      <c r="X57" s="14" t="s">
        <v>60</v>
      </c>
      <c r="Y57" s="14" t="s">
        <v>64</v>
      </c>
    </row>
    <row r="58" spans="1:25" x14ac:dyDescent="0.15">
      <c r="A58" s="11">
        <f t="shared" si="1"/>
        <v>54</v>
      </c>
      <c r="E58" s="11" t="s">
        <v>372</v>
      </c>
      <c r="V58" s="28" t="s">
        <v>72</v>
      </c>
      <c r="X58" s="14" t="s">
        <v>60</v>
      </c>
      <c r="Y58" s="14" t="s">
        <v>64</v>
      </c>
    </row>
    <row r="59" spans="1:25" x14ac:dyDescent="0.15">
      <c r="A59" s="11">
        <f t="shared" si="1"/>
        <v>55</v>
      </c>
      <c r="E59" s="11" t="s">
        <v>373</v>
      </c>
      <c r="V59" s="28" t="s">
        <v>72</v>
      </c>
      <c r="X59" s="14" t="s">
        <v>60</v>
      </c>
      <c r="Y59" s="14" t="s">
        <v>64</v>
      </c>
    </row>
    <row r="60" spans="1:25" x14ac:dyDescent="0.15">
      <c r="A60" s="11">
        <f t="shared" si="1"/>
        <v>56</v>
      </c>
      <c r="E60" s="11" t="s">
        <v>374</v>
      </c>
      <c r="V60" s="28" t="s">
        <v>72</v>
      </c>
      <c r="X60" s="14" t="s">
        <v>60</v>
      </c>
      <c r="Y60" s="14" t="s">
        <v>64</v>
      </c>
    </row>
    <row r="61" spans="1:25" x14ac:dyDescent="0.15">
      <c r="A61" s="11">
        <f t="shared" si="1"/>
        <v>57</v>
      </c>
      <c r="E61" s="11" t="s">
        <v>375</v>
      </c>
      <c r="V61" s="28" t="s">
        <v>72</v>
      </c>
      <c r="X61" s="14" t="s">
        <v>60</v>
      </c>
      <c r="Y61" s="14" t="s">
        <v>64</v>
      </c>
    </row>
    <row r="62" spans="1:25" x14ac:dyDescent="0.15">
      <c r="A62" s="11">
        <f t="shared" si="1"/>
        <v>58</v>
      </c>
      <c r="E62" s="11" t="s">
        <v>376</v>
      </c>
      <c r="V62" s="28" t="s">
        <v>72</v>
      </c>
      <c r="X62" s="14" t="s">
        <v>60</v>
      </c>
      <c r="Y62" s="14" t="s">
        <v>64</v>
      </c>
    </row>
    <row r="63" spans="1:25" x14ac:dyDescent="0.15">
      <c r="A63" s="11">
        <f t="shared" si="1"/>
        <v>59</v>
      </c>
      <c r="E63" s="11" t="s">
        <v>377</v>
      </c>
      <c r="V63" s="28" t="s">
        <v>72</v>
      </c>
      <c r="X63" s="14" t="s">
        <v>60</v>
      </c>
      <c r="Y63" s="14" t="s">
        <v>64</v>
      </c>
    </row>
    <row r="64" spans="1:25" x14ac:dyDescent="0.15">
      <c r="A64" s="11">
        <f t="shared" si="1"/>
        <v>60</v>
      </c>
      <c r="E64" s="11" t="s">
        <v>378</v>
      </c>
      <c r="V64" s="28" t="s">
        <v>72</v>
      </c>
      <c r="X64" s="14" t="s">
        <v>60</v>
      </c>
      <c r="Y64" s="14" t="s">
        <v>64</v>
      </c>
    </row>
    <row r="65" spans="1:25" x14ac:dyDescent="0.15">
      <c r="A65" s="11">
        <f t="shared" si="1"/>
        <v>61</v>
      </c>
      <c r="E65" s="11" t="s">
        <v>379</v>
      </c>
      <c r="V65" s="28" t="s">
        <v>72</v>
      </c>
      <c r="X65" s="14" t="s">
        <v>60</v>
      </c>
      <c r="Y65" s="14" t="s">
        <v>64</v>
      </c>
    </row>
    <row r="66" spans="1:25" x14ac:dyDescent="0.15">
      <c r="A66" s="11">
        <f t="shared" si="1"/>
        <v>62</v>
      </c>
      <c r="E66" s="11" t="s">
        <v>380</v>
      </c>
      <c r="V66" s="28" t="s">
        <v>72</v>
      </c>
      <c r="X66" s="14" t="s">
        <v>60</v>
      </c>
      <c r="Y66" s="14" t="s">
        <v>64</v>
      </c>
    </row>
    <row r="67" spans="1:25" x14ac:dyDescent="0.15">
      <c r="A67" s="11">
        <f t="shared" si="1"/>
        <v>63</v>
      </c>
      <c r="E67" s="11" t="s">
        <v>381</v>
      </c>
      <c r="V67" s="28" t="s">
        <v>72</v>
      </c>
      <c r="X67" s="14" t="s">
        <v>60</v>
      </c>
      <c r="Y67" s="14" t="s">
        <v>64</v>
      </c>
    </row>
    <row r="68" spans="1:25" x14ac:dyDescent="0.15">
      <c r="A68" s="11">
        <f t="shared" ref="A68:A105" si="2">ROW()-4</f>
        <v>64</v>
      </c>
      <c r="E68" s="11" t="s">
        <v>382</v>
      </c>
      <c r="V68" s="28" t="s">
        <v>72</v>
      </c>
      <c r="X68" s="14" t="s">
        <v>60</v>
      </c>
      <c r="Y68" s="14" t="s">
        <v>64</v>
      </c>
    </row>
    <row r="69" spans="1:25" x14ac:dyDescent="0.15">
      <c r="A69" s="11">
        <f t="shared" si="2"/>
        <v>65</v>
      </c>
      <c r="E69" s="11" t="s">
        <v>383</v>
      </c>
      <c r="V69" s="28" t="s">
        <v>72</v>
      </c>
      <c r="X69" s="14" t="s">
        <v>60</v>
      </c>
      <c r="Y69" s="14" t="s">
        <v>64</v>
      </c>
    </row>
    <row r="70" spans="1:25" x14ac:dyDescent="0.15">
      <c r="A70" s="11">
        <f t="shared" si="2"/>
        <v>66</v>
      </c>
      <c r="E70" s="11" t="s">
        <v>384</v>
      </c>
      <c r="V70" s="28" t="s">
        <v>72</v>
      </c>
      <c r="X70" s="14" t="s">
        <v>60</v>
      </c>
      <c r="Y70" s="14" t="s">
        <v>64</v>
      </c>
    </row>
    <row r="71" spans="1:25" x14ac:dyDescent="0.15">
      <c r="A71" s="11">
        <f t="shared" si="2"/>
        <v>67</v>
      </c>
      <c r="E71" s="11" t="s">
        <v>385</v>
      </c>
      <c r="V71" s="28" t="s">
        <v>72</v>
      </c>
      <c r="X71" s="14" t="s">
        <v>60</v>
      </c>
      <c r="Y71" s="14" t="s">
        <v>64</v>
      </c>
    </row>
    <row r="72" spans="1:25" x14ac:dyDescent="0.15">
      <c r="A72" s="11">
        <f t="shared" si="2"/>
        <v>68</v>
      </c>
      <c r="E72" s="11" t="s">
        <v>386</v>
      </c>
      <c r="V72" s="28" t="s">
        <v>72</v>
      </c>
      <c r="X72" s="14" t="s">
        <v>60</v>
      </c>
      <c r="Y72" s="14" t="s">
        <v>64</v>
      </c>
    </row>
    <row r="73" spans="1:25" x14ac:dyDescent="0.15">
      <c r="A73" s="11">
        <f t="shared" si="2"/>
        <v>69</v>
      </c>
      <c r="E73" s="11" t="s">
        <v>387</v>
      </c>
      <c r="V73" s="28" t="s">
        <v>72</v>
      </c>
      <c r="X73" s="14" t="s">
        <v>60</v>
      </c>
      <c r="Y73" s="14" t="s">
        <v>64</v>
      </c>
    </row>
    <row r="74" spans="1:25" x14ac:dyDescent="0.15">
      <c r="A74" s="11">
        <f t="shared" si="2"/>
        <v>70</v>
      </c>
      <c r="E74" s="11" t="s">
        <v>388</v>
      </c>
      <c r="V74" s="28" t="s">
        <v>72</v>
      </c>
      <c r="X74" s="14" t="s">
        <v>60</v>
      </c>
      <c r="Y74" s="14" t="s">
        <v>64</v>
      </c>
    </row>
    <row r="75" spans="1:25" x14ac:dyDescent="0.15">
      <c r="A75" s="11">
        <f t="shared" si="2"/>
        <v>71</v>
      </c>
      <c r="E75" s="11" t="s">
        <v>389</v>
      </c>
      <c r="V75" s="28" t="s">
        <v>72</v>
      </c>
      <c r="X75" s="14" t="s">
        <v>60</v>
      </c>
      <c r="Y75" s="14" t="s">
        <v>64</v>
      </c>
    </row>
    <row r="76" spans="1:25" x14ac:dyDescent="0.15">
      <c r="A76" s="11">
        <f t="shared" si="2"/>
        <v>72</v>
      </c>
      <c r="E76" s="11" t="s">
        <v>390</v>
      </c>
      <c r="V76" s="28" t="s">
        <v>72</v>
      </c>
      <c r="X76" s="14" t="s">
        <v>60</v>
      </c>
      <c r="Y76" s="14" t="s">
        <v>64</v>
      </c>
    </row>
    <row r="77" spans="1:25" x14ac:dyDescent="0.15">
      <c r="A77" s="11">
        <f t="shared" si="2"/>
        <v>73</v>
      </c>
      <c r="E77" s="11" t="s">
        <v>391</v>
      </c>
      <c r="V77" s="28" t="s">
        <v>72</v>
      </c>
      <c r="X77" s="14" t="s">
        <v>60</v>
      </c>
      <c r="Y77" s="14" t="s">
        <v>64</v>
      </c>
    </row>
    <row r="78" spans="1:25" x14ac:dyDescent="0.15">
      <c r="A78" s="11">
        <f t="shared" si="2"/>
        <v>74</v>
      </c>
      <c r="E78" s="11" t="s">
        <v>392</v>
      </c>
      <c r="V78" s="28" t="s">
        <v>72</v>
      </c>
      <c r="X78" s="14" t="s">
        <v>60</v>
      </c>
      <c r="Y78" s="14" t="s">
        <v>64</v>
      </c>
    </row>
    <row r="79" spans="1:25" x14ac:dyDescent="0.15">
      <c r="A79" s="11">
        <f t="shared" si="2"/>
        <v>75</v>
      </c>
      <c r="E79" s="11" t="s">
        <v>393</v>
      </c>
      <c r="V79" s="28" t="s">
        <v>72</v>
      </c>
      <c r="X79" s="14" t="s">
        <v>60</v>
      </c>
      <c r="Y79" s="14" t="s">
        <v>64</v>
      </c>
    </row>
    <row r="80" spans="1:25" x14ac:dyDescent="0.15">
      <c r="A80" s="11">
        <f t="shared" si="2"/>
        <v>76</v>
      </c>
      <c r="E80" s="11" t="s">
        <v>394</v>
      </c>
      <c r="V80" s="28" t="s">
        <v>89</v>
      </c>
      <c r="X80" s="14" t="s">
        <v>60</v>
      </c>
      <c r="Y80" s="14" t="s">
        <v>64</v>
      </c>
    </row>
    <row r="81" spans="1:25" x14ac:dyDescent="0.15">
      <c r="A81" s="11">
        <f t="shared" si="2"/>
        <v>77</v>
      </c>
      <c r="E81" s="11" t="s">
        <v>395</v>
      </c>
      <c r="V81" s="28" t="s">
        <v>72</v>
      </c>
      <c r="X81" s="14" t="s">
        <v>60</v>
      </c>
      <c r="Y81" s="14" t="s">
        <v>64</v>
      </c>
    </row>
    <row r="82" spans="1:25" x14ac:dyDescent="0.15">
      <c r="A82" s="11">
        <f t="shared" si="2"/>
        <v>78</v>
      </c>
      <c r="E82" s="11" t="s">
        <v>396</v>
      </c>
      <c r="V82" s="28" t="s">
        <v>72</v>
      </c>
      <c r="X82" s="14" t="s">
        <v>60</v>
      </c>
      <c r="Y82" s="14" t="s">
        <v>64</v>
      </c>
    </row>
    <row r="83" spans="1:25" x14ac:dyDescent="0.15">
      <c r="A83" s="11">
        <f t="shared" si="2"/>
        <v>79</v>
      </c>
      <c r="E83" s="11" t="s">
        <v>397</v>
      </c>
      <c r="V83" s="28" t="s">
        <v>89</v>
      </c>
      <c r="X83" s="14" t="s">
        <v>60</v>
      </c>
      <c r="Y83" s="14" t="s">
        <v>64</v>
      </c>
    </row>
    <row r="84" spans="1:25" x14ac:dyDescent="0.15">
      <c r="A84" s="11">
        <f t="shared" si="2"/>
        <v>80</v>
      </c>
      <c r="E84" s="11" t="s">
        <v>398</v>
      </c>
      <c r="V84" s="28" t="s">
        <v>72</v>
      </c>
      <c r="X84" s="14" t="s">
        <v>60</v>
      </c>
      <c r="Y84" s="14" t="s">
        <v>64</v>
      </c>
    </row>
    <row r="85" spans="1:25" x14ac:dyDescent="0.15">
      <c r="A85" s="11">
        <f t="shared" si="2"/>
        <v>81</v>
      </c>
      <c r="E85" s="11" t="s">
        <v>399</v>
      </c>
      <c r="V85" s="28" t="s">
        <v>72</v>
      </c>
      <c r="X85" s="14" t="s">
        <v>60</v>
      </c>
      <c r="Y85" s="14" t="s">
        <v>64</v>
      </c>
    </row>
    <row r="86" spans="1:25" x14ac:dyDescent="0.15">
      <c r="A86" s="11">
        <f t="shared" si="2"/>
        <v>82</v>
      </c>
      <c r="E86" s="11" t="s">
        <v>400</v>
      </c>
      <c r="V86" s="28" t="s">
        <v>89</v>
      </c>
      <c r="X86" s="14" t="s">
        <v>60</v>
      </c>
      <c r="Y86" s="14" t="s">
        <v>64</v>
      </c>
    </row>
    <row r="87" spans="1:25" x14ac:dyDescent="0.15">
      <c r="A87" s="11">
        <f t="shared" si="2"/>
        <v>83</v>
      </c>
      <c r="E87" s="11" t="s">
        <v>401</v>
      </c>
      <c r="V87" s="28" t="s">
        <v>72</v>
      </c>
      <c r="X87" s="14" t="s">
        <v>60</v>
      </c>
      <c r="Y87" s="14" t="s">
        <v>64</v>
      </c>
    </row>
    <row r="88" spans="1:25" x14ac:dyDescent="0.15">
      <c r="A88" s="11">
        <f t="shared" si="2"/>
        <v>84</v>
      </c>
      <c r="E88" s="11" t="s">
        <v>402</v>
      </c>
      <c r="V88" s="28" t="s">
        <v>80</v>
      </c>
      <c r="X88" s="14" t="s">
        <v>60</v>
      </c>
      <c r="Y88" s="14" t="s">
        <v>64</v>
      </c>
    </row>
    <row r="89" spans="1:25" x14ac:dyDescent="0.15">
      <c r="A89" s="11">
        <f t="shared" si="2"/>
        <v>85</v>
      </c>
      <c r="E89" s="11" t="s">
        <v>403</v>
      </c>
      <c r="V89" s="28" t="s">
        <v>72</v>
      </c>
      <c r="X89" s="14" t="s">
        <v>60</v>
      </c>
      <c r="Y89" s="14" t="s">
        <v>64</v>
      </c>
    </row>
    <row r="90" spans="1:25" x14ac:dyDescent="0.15">
      <c r="A90" s="11">
        <f t="shared" si="2"/>
        <v>86</v>
      </c>
      <c r="E90" s="11" t="s">
        <v>404</v>
      </c>
      <c r="V90" s="28" t="s">
        <v>80</v>
      </c>
      <c r="X90" s="14" t="s">
        <v>60</v>
      </c>
      <c r="Y90" s="14" t="s">
        <v>64</v>
      </c>
    </row>
    <row r="91" spans="1:25" x14ac:dyDescent="0.15">
      <c r="A91" s="11">
        <f t="shared" si="2"/>
        <v>87</v>
      </c>
      <c r="E91" s="11" t="s">
        <v>405</v>
      </c>
      <c r="V91" s="28" t="s">
        <v>72</v>
      </c>
      <c r="X91" s="14" t="s">
        <v>60</v>
      </c>
      <c r="Y91" s="14" t="s">
        <v>64</v>
      </c>
    </row>
    <row r="92" spans="1:25" x14ac:dyDescent="0.15">
      <c r="A92" s="11">
        <f t="shared" si="2"/>
        <v>88</v>
      </c>
      <c r="E92" s="11" t="s">
        <v>406</v>
      </c>
      <c r="V92" s="28" t="s">
        <v>80</v>
      </c>
      <c r="X92" s="14" t="s">
        <v>60</v>
      </c>
      <c r="Y92" s="14" t="s">
        <v>64</v>
      </c>
    </row>
    <row r="93" spans="1:25" x14ac:dyDescent="0.15">
      <c r="A93" s="11">
        <f t="shared" si="2"/>
        <v>89</v>
      </c>
      <c r="E93" s="11" t="s">
        <v>230</v>
      </c>
      <c r="V93" s="28" t="s">
        <v>56</v>
      </c>
      <c r="W93" s="14">
        <v>10</v>
      </c>
      <c r="X93" s="14" t="s">
        <v>60</v>
      </c>
      <c r="Y93" s="14" t="s">
        <v>58</v>
      </c>
    </row>
    <row r="94" spans="1:25" x14ac:dyDescent="0.15">
      <c r="A94" s="11">
        <f t="shared" si="2"/>
        <v>90</v>
      </c>
      <c r="E94" s="11" t="s">
        <v>407</v>
      </c>
      <c r="V94" s="28" t="s">
        <v>72</v>
      </c>
      <c r="X94" s="14" t="s">
        <v>60</v>
      </c>
      <c r="Y94" s="14" t="s">
        <v>64</v>
      </c>
    </row>
    <row r="95" spans="1:25" x14ac:dyDescent="0.15">
      <c r="A95" s="11">
        <f t="shared" si="2"/>
        <v>91</v>
      </c>
      <c r="E95" s="11" t="s">
        <v>408</v>
      </c>
      <c r="V95" s="28" t="s">
        <v>72</v>
      </c>
      <c r="X95" s="14" t="s">
        <v>60</v>
      </c>
      <c r="Y95" s="14" t="s">
        <v>64</v>
      </c>
    </row>
    <row r="96" spans="1:25" x14ac:dyDescent="0.15">
      <c r="A96" s="11">
        <f t="shared" si="2"/>
        <v>92</v>
      </c>
      <c r="E96" s="11" t="s">
        <v>233</v>
      </c>
      <c r="V96" s="28" t="s">
        <v>56</v>
      </c>
      <c r="W96" s="14">
        <v>10</v>
      </c>
      <c r="X96" s="14" t="s">
        <v>60</v>
      </c>
      <c r="Y96" s="14" t="s">
        <v>58</v>
      </c>
    </row>
    <row r="97" spans="1:25" x14ac:dyDescent="0.15">
      <c r="A97" s="11">
        <f t="shared" si="2"/>
        <v>93</v>
      </c>
      <c r="E97" s="11" t="s">
        <v>409</v>
      </c>
      <c r="V97" s="28" t="s">
        <v>72</v>
      </c>
      <c r="X97" s="14" t="s">
        <v>60</v>
      </c>
      <c r="Y97" s="14" t="s">
        <v>64</v>
      </c>
    </row>
    <row r="98" spans="1:25" x14ac:dyDescent="0.15">
      <c r="A98" s="11">
        <f t="shared" si="2"/>
        <v>94</v>
      </c>
      <c r="E98" s="11" t="s">
        <v>410</v>
      </c>
      <c r="V98" s="28" t="s">
        <v>72</v>
      </c>
      <c r="X98" s="14" t="s">
        <v>60</v>
      </c>
      <c r="Y98" s="14" t="s">
        <v>64</v>
      </c>
    </row>
    <row r="99" spans="1:25" x14ac:dyDescent="0.15">
      <c r="A99" s="11">
        <f t="shared" si="2"/>
        <v>95</v>
      </c>
      <c r="B99" s="29"/>
      <c r="C99" s="29"/>
      <c r="D99" s="29"/>
      <c r="E99" s="11" t="s">
        <v>668</v>
      </c>
      <c r="V99" s="29" t="s">
        <v>72</v>
      </c>
      <c r="X99" s="14" t="s">
        <v>60</v>
      </c>
      <c r="Y99" s="14" t="s">
        <v>64</v>
      </c>
    </row>
    <row r="100" spans="1:25" x14ac:dyDescent="0.15">
      <c r="A100" s="11">
        <f t="shared" si="2"/>
        <v>96</v>
      </c>
      <c r="B100" s="29"/>
      <c r="C100" s="29"/>
      <c r="D100" s="29"/>
      <c r="E100" s="11" t="s">
        <v>669</v>
      </c>
      <c r="V100" s="29" t="s">
        <v>72</v>
      </c>
      <c r="X100" s="14" t="s">
        <v>60</v>
      </c>
      <c r="Y100" s="14" t="s">
        <v>64</v>
      </c>
    </row>
    <row r="101" spans="1:25" x14ac:dyDescent="0.15">
      <c r="A101" s="11">
        <f t="shared" si="2"/>
        <v>97</v>
      </c>
      <c r="B101" s="29"/>
      <c r="C101" s="29"/>
      <c r="D101" s="29"/>
      <c r="E101" s="11" t="s">
        <v>670</v>
      </c>
      <c r="V101" s="29" t="s">
        <v>56</v>
      </c>
      <c r="W101" s="14">
        <v>10</v>
      </c>
      <c r="X101" s="14" t="s">
        <v>60</v>
      </c>
      <c r="Y101" s="14" t="s">
        <v>58</v>
      </c>
    </row>
    <row r="102" spans="1:25" x14ac:dyDescent="0.15">
      <c r="A102" s="11">
        <f t="shared" si="2"/>
        <v>98</v>
      </c>
      <c r="B102" s="29"/>
      <c r="C102" s="29"/>
      <c r="D102" s="29"/>
      <c r="E102" s="11" t="s">
        <v>671</v>
      </c>
      <c r="V102" s="29" t="s">
        <v>56</v>
      </c>
      <c r="W102" s="14">
        <v>10</v>
      </c>
      <c r="X102" s="14" t="s">
        <v>60</v>
      </c>
      <c r="Y102" s="14" t="s">
        <v>58</v>
      </c>
    </row>
    <row r="103" spans="1:25" x14ac:dyDescent="0.15">
      <c r="A103" s="11">
        <f t="shared" si="2"/>
        <v>99</v>
      </c>
      <c r="B103" s="29"/>
      <c r="C103" s="29"/>
      <c r="D103" s="29"/>
      <c r="E103" s="11" t="s">
        <v>672</v>
      </c>
      <c r="V103" s="29" t="s">
        <v>56</v>
      </c>
      <c r="W103" s="14">
        <v>10</v>
      </c>
      <c r="X103" s="14" t="s">
        <v>60</v>
      </c>
      <c r="Y103" s="14" t="s">
        <v>58</v>
      </c>
    </row>
    <row r="104" spans="1:25" x14ac:dyDescent="0.15">
      <c r="A104" s="11">
        <f t="shared" si="2"/>
        <v>100</v>
      </c>
      <c r="B104" s="29"/>
      <c r="C104" s="29"/>
      <c r="D104" s="29"/>
      <c r="E104" s="11" t="s">
        <v>673</v>
      </c>
      <c r="V104" s="29" t="s">
        <v>56</v>
      </c>
      <c r="W104" s="14">
        <v>10</v>
      </c>
      <c r="X104" s="14" t="s">
        <v>60</v>
      </c>
      <c r="Y104" s="14" t="s">
        <v>58</v>
      </c>
    </row>
    <row r="105" spans="1:25" x14ac:dyDescent="0.15">
      <c r="A105" s="11">
        <f t="shared" si="2"/>
        <v>101</v>
      </c>
      <c r="E105" s="11" t="s">
        <v>411</v>
      </c>
      <c r="V105" s="28" t="s">
        <v>56</v>
      </c>
      <c r="W105" s="14">
        <v>20</v>
      </c>
      <c r="X105" s="14" t="s">
        <v>60</v>
      </c>
      <c r="Y105" s="14" t="s">
        <v>58</v>
      </c>
    </row>
    <row r="106" spans="1:25" x14ac:dyDescent="0.15">
      <c r="A106" s="11">
        <f t="shared" ref="A106:A137" si="3">ROW()-4</f>
        <v>102</v>
      </c>
      <c r="E106" s="11" t="s">
        <v>412</v>
      </c>
      <c r="V106" s="28" t="s">
        <v>72</v>
      </c>
      <c r="X106" s="14" t="s">
        <v>60</v>
      </c>
      <c r="Y106" s="14" t="s">
        <v>64</v>
      </c>
    </row>
    <row r="107" spans="1:25" x14ac:dyDescent="0.15">
      <c r="A107" s="11">
        <f t="shared" si="3"/>
        <v>103</v>
      </c>
      <c r="E107" s="11" t="s">
        <v>413</v>
      </c>
      <c r="V107" s="28" t="s">
        <v>72</v>
      </c>
      <c r="X107" s="14" t="s">
        <v>60</v>
      </c>
      <c r="Y107" s="14" t="s">
        <v>64</v>
      </c>
    </row>
    <row r="108" spans="1:25" x14ac:dyDescent="0.15">
      <c r="A108" s="11">
        <f t="shared" si="3"/>
        <v>104</v>
      </c>
      <c r="E108" s="11" t="s">
        <v>414</v>
      </c>
      <c r="V108" s="28" t="s">
        <v>72</v>
      </c>
      <c r="X108" s="14" t="s">
        <v>60</v>
      </c>
      <c r="Y108" s="14" t="s">
        <v>64</v>
      </c>
    </row>
    <row r="109" spans="1:25" x14ac:dyDescent="0.15">
      <c r="A109" s="11">
        <f t="shared" si="3"/>
        <v>105</v>
      </c>
      <c r="E109" s="11" t="s">
        <v>415</v>
      </c>
      <c r="V109" s="28" t="s">
        <v>72</v>
      </c>
      <c r="X109" s="14" t="s">
        <v>60</v>
      </c>
      <c r="Y109" s="14" t="s">
        <v>64</v>
      </c>
    </row>
    <row r="110" spans="1:25" x14ac:dyDescent="0.15">
      <c r="A110" s="11">
        <f t="shared" si="3"/>
        <v>106</v>
      </c>
      <c r="E110" s="11" t="s">
        <v>416</v>
      </c>
      <c r="V110" s="28" t="s">
        <v>72</v>
      </c>
      <c r="X110" s="14" t="s">
        <v>60</v>
      </c>
      <c r="Y110" s="14" t="s">
        <v>64</v>
      </c>
    </row>
    <row r="111" spans="1:25" x14ac:dyDescent="0.15">
      <c r="A111" s="11">
        <f t="shared" si="3"/>
        <v>107</v>
      </c>
      <c r="E111" s="11" t="s">
        <v>417</v>
      </c>
      <c r="V111" s="28" t="s">
        <v>72</v>
      </c>
      <c r="X111" s="14" t="s">
        <v>60</v>
      </c>
      <c r="Y111" s="14" t="s">
        <v>64</v>
      </c>
    </row>
    <row r="112" spans="1:25" x14ac:dyDescent="0.15">
      <c r="A112" s="11">
        <f t="shared" si="3"/>
        <v>108</v>
      </c>
      <c r="E112" s="11" t="s">
        <v>418</v>
      </c>
      <c r="V112" s="28" t="s">
        <v>72</v>
      </c>
      <c r="X112" s="14" t="s">
        <v>60</v>
      </c>
      <c r="Y112" s="14" t="s">
        <v>64</v>
      </c>
    </row>
    <row r="113" spans="1:25" x14ac:dyDescent="0.15">
      <c r="A113" s="11">
        <f t="shared" si="3"/>
        <v>109</v>
      </c>
      <c r="E113" s="11" t="s">
        <v>419</v>
      </c>
      <c r="V113" s="28" t="s">
        <v>72</v>
      </c>
      <c r="X113" s="14" t="s">
        <v>60</v>
      </c>
      <c r="Y113" s="14" t="s">
        <v>64</v>
      </c>
    </row>
    <row r="114" spans="1:25" x14ac:dyDescent="0.15">
      <c r="A114" s="11">
        <f t="shared" si="3"/>
        <v>110</v>
      </c>
      <c r="E114" s="11" t="s">
        <v>420</v>
      </c>
      <c r="V114" s="28" t="s">
        <v>72</v>
      </c>
      <c r="X114" s="14" t="s">
        <v>60</v>
      </c>
      <c r="Y114" s="14" t="s">
        <v>64</v>
      </c>
    </row>
    <row r="115" spans="1:25" x14ac:dyDescent="0.15">
      <c r="A115" s="11">
        <f t="shared" si="3"/>
        <v>111</v>
      </c>
      <c r="E115" s="11" t="s">
        <v>421</v>
      </c>
      <c r="V115" s="28" t="s">
        <v>72</v>
      </c>
      <c r="X115" s="14" t="s">
        <v>60</v>
      </c>
      <c r="Y115" s="14" t="s">
        <v>64</v>
      </c>
    </row>
    <row r="116" spans="1:25" x14ac:dyDescent="0.15">
      <c r="A116" s="11">
        <f t="shared" si="3"/>
        <v>112</v>
      </c>
      <c r="E116" s="11" t="s">
        <v>422</v>
      </c>
      <c r="V116" s="28" t="s">
        <v>80</v>
      </c>
      <c r="X116" s="14" t="s">
        <v>60</v>
      </c>
      <c r="Y116" s="14" t="s">
        <v>64</v>
      </c>
    </row>
    <row r="117" spans="1:25" x14ac:dyDescent="0.15">
      <c r="A117" s="11">
        <f t="shared" si="3"/>
        <v>113</v>
      </c>
      <c r="E117" s="11" t="s">
        <v>423</v>
      </c>
      <c r="V117" s="28" t="s">
        <v>80</v>
      </c>
      <c r="X117" s="14" t="s">
        <v>60</v>
      </c>
      <c r="Y117" s="14" t="s">
        <v>64</v>
      </c>
    </row>
    <row r="118" spans="1:25" x14ac:dyDescent="0.15">
      <c r="A118" s="11">
        <f t="shared" si="3"/>
        <v>114</v>
      </c>
      <c r="E118" s="11" t="s">
        <v>424</v>
      </c>
      <c r="V118" s="28" t="s">
        <v>80</v>
      </c>
      <c r="X118" s="14" t="s">
        <v>60</v>
      </c>
      <c r="Y118" s="14" t="s">
        <v>64</v>
      </c>
    </row>
    <row r="119" spans="1:25" x14ac:dyDescent="0.15">
      <c r="A119" s="11">
        <f t="shared" si="3"/>
        <v>115</v>
      </c>
      <c r="E119" s="11" t="s">
        <v>425</v>
      </c>
      <c r="V119" s="28" t="s">
        <v>80</v>
      </c>
      <c r="X119" s="14" t="s">
        <v>60</v>
      </c>
      <c r="Y119" s="14" t="s">
        <v>64</v>
      </c>
    </row>
    <row r="120" spans="1:25" x14ac:dyDescent="0.15">
      <c r="A120" s="11">
        <f t="shared" si="3"/>
        <v>116</v>
      </c>
      <c r="E120" s="11" t="s">
        <v>426</v>
      </c>
      <c r="V120" s="28" t="s">
        <v>56</v>
      </c>
      <c r="W120" s="14">
        <v>10</v>
      </c>
      <c r="X120" s="14" t="s">
        <v>60</v>
      </c>
      <c r="Y120" s="14" t="s">
        <v>58</v>
      </c>
    </row>
    <row r="121" spans="1:25" x14ac:dyDescent="0.15">
      <c r="A121" s="11">
        <f t="shared" si="3"/>
        <v>117</v>
      </c>
      <c r="E121" s="11" t="s">
        <v>427</v>
      </c>
      <c r="V121" s="28" t="s">
        <v>72</v>
      </c>
      <c r="X121" s="14" t="s">
        <v>60</v>
      </c>
      <c r="Y121" s="14" t="s">
        <v>64</v>
      </c>
    </row>
    <row r="122" spans="1:25" x14ac:dyDescent="0.15">
      <c r="A122" s="11">
        <f t="shared" si="3"/>
        <v>118</v>
      </c>
      <c r="E122" s="11" t="s">
        <v>428</v>
      </c>
      <c r="V122" s="28" t="s">
        <v>72</v>
      </c>
      <c r="X122" s="14" t="s">
        <v>60</v>
      </c>
      <c r="Y122" s="14" t="s">
        <v>64</v>
      </c>
    </row>
    <row r="123" spans="1:25" x14ac:dyDescent="0.15">
      <c r="A123" s="11">
        <f t="shared" si="3"/>
        <v>119</v>
      </c>
      <c r="E123" s="11" t="s">
        <v>429</v>
      </c>
      <c r="V123" s="28" t="s">
        <v>72</v>
      </c>
      <c r="X123" s="14" t="s">
        <v>60</v>
      </c>
      <c r="Y123" s="14" t="s">
        <v>64</v>
      </c>
    </row>
    <row r="124" spans="1:25" x14ac:dyDescent="0.15">
      <c r="A124" s="11">
        <f t="shared" si="3"/>
        <v>120</v>
      </c>
      <c r="E124" s="11" t="s">
        <v>430</v>
      </c>
      <c r="V124" s="28" t="s">
        <v>72</v>
      </c>
      <c r="X124" s="14" t="s">
        <v>60</v>
      </c>
      <c r="Y124" s="14" t="s">
        <v>64</v>
      </c>
    </row>
    <row r="125" spans="1:25" x14ac:dyDescent="0.15">
      <c r="A125" s="11">
        <f t="shared" si="3"/>
        <v>121</v>
      </c>
      <c r="E125" s="11" t="s">
        <v>431</v>
      </c>
      <c r="V125" s="28" t="s">
        <v>72</v>
      </c>
      <c r="X125" s="14" t="s">
        <v>60</v>
      </c>
      <c r="Y125" s="14" t="s">
        <v>64</v>
      </c>
    </row>
    <row r="126" spans="1:25" x14ac:dyDescent="0.15">
      <c r="A126" s="11">
        <f t="shared" si="3"/>
        <v>122</v>
      </c>
      <c r="E126" s="11" t="s">
        <v>432</v>
      </c>
      <c r="V126" s="28" t="s">
        <v>72</v>
      </c>
      <c r="X126" s="14" t="s">
        <v>60</v>
      </c>
      <c r="Y126" s="14" t="s">
        <v>64</v>
      </c>
    </row>
    <row r="127" spans="1:25" x14ac:dyDescent="0.15">
      <c r="A127" s="11">
        <f t="shared" si="3"/>
        <v>123</v>
      </c>
      <c r="E127" s="11" t="s">
        <v>433</v>
      </c>
      <c r="V127" s="28" t="s">
        <v>72</v>
      </c>
      <c r="X127" s="14" t="s">
        <v>60</v>
      </c>
      <c r="Y127" s="14" t="s">
        <v>64</v>
      </c>
    </row>
    <row r="128" spans="1:25" x14ac:dyDescent="0.15">
      <c r="A128" s="11">
        <f t="shared" si="3"/>
        <v>124</v>
      </c>
      <c r="E128" s="11" t="s">
        <v>434</v>
      </c>
      <c r="V128" s="28" t="s">
        <v>56</v>
      </c>
      <c r="W128" s="14">
        <v>20</v>
      </c>
      <c r="X128" s="14" t="s">
        <v>60</v>
      </c>
      <c r="Y128" s="14" t="s">
        <v>58</v>
      </c>
    </row>
    <row r="129" spans="1:25" x14ac:dyDescent="0.15">
      <c r="A129" s="11">
        <f t="shared" si="3"/>
        <v>125</v>
      </c>
      <c r="E129" s="11" t="s">
        <v>435</v>
      </c>
      <c r="V129" s="28" t="s">
        <v>56</v>
      </c>
      <c r="W129" s="14">
        <v>20</v>
      </c>
      <c r="X129" s="14" t="s">
        <v>60</v>
      </c>
      <c r="Y129" s="14" t="s">
        <v>58</v>
      </c>
    </row>
    <row r="130" spans="1:25" x14ac:dyDescent="0.15">
      <c r="A130" s="11">
        <f t="shared" si="3"/>
        <v>126</v>
      </c>
      <c r="E130" s="11" t="s">
        <v>436</v>
      </c>
      <c r="V130" s="28" t="s">
        <v>56</v>
      </c>
      <c r="W130" s="14">
        <v>100</v>
      </c>
      <c r="X130" s="14" t="s">
        <v>60</v>
      </c>
      <c r="Y130" s="14" t="s">
        <v>58</v>
      </c>
    </row>
    <row r="131" spans="1:25" x14ac:dyDescent="0.15">
      <c r="A131" s="11">
        <f t="shared" si="3"/>
        <v>127</v>
      </c>
      <c r="E131" s="11" t="s">
        <v>437</v>
      </c>
      <c r="V131" s="28" t="s">
        <v>56</v>
      </c>
      <c r="W131" s="14">
        <v>100</v>
      </c>
      <c r="X131" s="14" t="s">
        <v>60</v>
      </c>
      <c r="Y131" s="14" t="s">
        <v>58</v>
      </c>
    </row>
    <row r="132" spans="1:25" x14ac:dyDescent="0.15">
      <c r="A132" s="11">
        <f t="shared" si="3"/>
        <v>128</v>
      </c>
      <c r="E132" s="11" t="s">
        <v>438</v>
      </c>
      <c r="V132" s="28" t="s">
        <v>72</v>
      </c>
      <c r="X132" s="14" t="s">
        <v>60</v>
      </c>
      <c r="Y132" s="14" t="s">
        <v>64</v>
      </c>
    </row>
    <row r="133" spans="1:25" x14ac:dyDescent="0.15">
      <c r="A133" s="11">
        <f t="shared" si="3"/>
        <v>129</v>
      </c>
      <c r="E133" s="11" t="s">
        <v>439</v>
      </c>
      <c r="V133" s="28" t="s">
        <v>56</v>
      </c>
      <c r="W133" s="14">
        <v>100</v>
      </c>
      <c r="X133" s="14" t="s">
        <v>60</v>
      </c>
      <c r="Y133" s="14" t="s">
        <v>58</v>
      </c>
    </row>
    <row r="134" spans="1:25" x14ac:dyDescent="0.15">
      <c r="A134" s="11">
        <f t="shared" si="3"/>
        <v>130</v>
      </c>
      <c r="E134" s="11" t="s">
        <v>440</v>
      </c>
      <c r="V134" s="28" t="s">
        <v>56</v>
      </c>
      <c r="W134" s="14">
        <v>100</v>
      </c>
      <c r="X134" s="14" t="s">
        <v>60</v>
      </c>
      <c r="Y134" s="14" t="s">
        <v>58</v>
      </c>
    </row>
    <row r="135" spans="1:25" x14ac:dyDescent="0.15">
      <c r="A135" s="11">
        <f t="shared" si="3"/>
        <v>131</v>
      </c>
      <c r="E135" s="11" t="s">
        <v>441</v>
      </c>
      <c r="V135" s="28" t="s">
        <v>72</v>
      </c>
      <c r="X135" s="14" t="s">
        <v>60</v>
      </c>
      <c r="Y135" s="14" t="s">
        <v>64</v>
      </c>
    </row>
    <row r="136" spans="1:25" x14ac:dyDescent="0.15">
      <c r="A136" s="11">
        <f t="shared" si="3"/>
        <v>132</v>
      </c>
      <c r="E136" s="11" t="s">
        <v>442</v>
      </c>
      <c r="V136" s="28" t="s">
        <v>56</v>
      </c>
      <c r="W136" s="14">
        <v>100</v>
      </c>
      <c r="X136" s="14" t="s">
        <v>60</v>
      </c>
      <c r="Y136" s="14" t="s">
        <v>58</v>
      </c>
    </row>
    <row r="137" spans="1:25" x14ac:dyDescent="0.15">
      <c r="A137" s="11">
        <f t="shared" si="3"/>
        <v>133</v>
      </c>
      <c r="E137" s="11" t="s">
        <v>443</v>
      </c>
      <c r="V137" s="28" t="s">
        <v>56</v>
      </c>
      <c r="W137" s="14">
        <v>100</v>
      </c>
      <c r="X137" s="14" t="s">
        <v>60</v>
      </c>
      <c r="Y137" s="14" t="s">
        <v>58</v>
      </c>
    </row>
    <row r="138" spans="1:25" x14ac:dyDescent="0.15">
      <c r="A138" s="11">
        <f t="shared" ref="A138:A170" si="4">ROW()-4</f>
        <v>134</v>
      </c>
      <c r="E138" s="11" t="s">
        <v>444</v>
      </c>
      <c r="V138" s="28" t="s">
        <v>72</v>
      </c>
      <c r="X138" s="14" t="s">
        <v>60</v>
      </c>
      <c r="Y138" s="14" t="s">
        <v>64</v>
      </c>
    </row>
    <row r="139" spans="1:25" x14ac:dyDescent="0.15">
      <c r="A139" s="11">
        <f t="shared" si="4"/>
        <v>135</v>
      </c>
      <c r="E139" s="11" t="s">
        <v>445</v>
      </c>
      <c r="V139" s="28" t="s">
        <v>56</v>
      </c>
      <c r="W139" s="14">
        <v>100</v>
      </c>
      <c r="X139" s="14" t="s">
        <v>60</v>
      </c>
      <c r="Y139" s="14" t="s">
        <v>58</v>
      </c>
    </row>
    <row r="140" spans="1:25" x14ac:dyDescent="0.15">
      <c r="A140" s="11">
        <f t="shared" si="4"/>
        <v>136</v>
      </c>
      <c r="E140" s="11" t="s">
        <v>446</v>
      </c>
      <c r="V140" s="28" t="s">
        <v>56</v>
      </c>
      <c r="W140" s="14">
        <v>100</v>
      </c>
      <c r="X140" s="14" t="s">
        <v>60</v>
      </c>
      <c r="Y140" s="14" t="s">
        <v>58</v>
      </c>
    </row>
    <row r="141" spans="1:25" x14ac:dyDescent="0.15">
      <c r="A141" s="11">
        <f t="shared" si="4"/>
        <v>137</v>
      </c>
      <c r="E141" s="11" t="s">
        <v>447</v>
      </c>
      <c r="V141" s="28" t="s">
        <v>72</v>
      </c>
      <c r="X141" s="14" t="s">
        <v>60</v>
      </c>
      <c r="Y141" s="14" t="s">
        <v>64</v>
      </c>
    </row>
    <row r="142" spans="1:25" x14ac:dyDescent="0.15">
      <c r="A142" s="11">
        <f t="shared" si="4"/>
        <v>138</v>
      </c>
      <c r="E142" s="11" t="s">
        <v>448</v>
      </c>
      <c r="V142" s="28" t="s">
        <v>56</v>
      </c>
      <c r="W142" s="14">
        <v>100</v>
      </c>
      <c r="X142" s="14" t="s">
        <v>60</v>
      </c>
      <c r="Y142" s="14" t="s">
        <v>58</v>
      </c>
    </row>
    <row r="143" spans="1:25" x14ac:dyDescent="0.15">
      <c r="A143" s="11">
        <f t="shared" si="4"/>
        <v>139</v>
      </c>
      <c r="E143" s="11" t="s">
        <v>449</v>
      </c>
      <c r="V143" s="28" t="s">
        <v>56</v>
      </c>
      <c r="W143" s="14">
        <v>100</v>
      </c>
      <c r="X143" s="14" t="s">
        <v>60</v>
      </c>
      <c r="Y143" s="14" t="s">
        <v>58</v>
      </c>
    </row>
    <row r="144" spans="1:25" x14ac:dyDescent="0.15">
      <c r="A144" s="11">
        <f t="shared" si="4"/>
        <v>140</v>
      </c>
      <c r="E144" s="11" t="s">
        <v>450</v>
      </c>
      <c r="V144" s="28" t="s">
        <v>72</v>
      </c>
      <c r="X144" s="14" t="s">
        <v>60</v>
      </c>
      <c r="Y144" s="14" t="s">
        <v>64</v>
      </c>
    </row>
    <row r="145" spans="1:25" x14ac:dyDescent="0.15">
      <c r="A145" s="11">
        <f t="shared" si="4"/>
        <v>141</v>
      </c>
      <c r="E145" s="11" t="s">
        <v>451</v>
      </c>
      <c r="V145" s="28" t="s">
        <v>56</v>
      </c>
      <c r="W145" s="14">
        <v>100</v>
      </c>
      <c r="X145" s="14" t="s">
        <v>60</v>
      </c>
      <c r="Y145" s="14" t="s">
        <v>58</v>
      </c>
    </row>
    <row r="146" spans="1:25" x14ac:dyDescent="0.15">
      <c r="A146" s="11">
        <f t="shared" si="4"/>
        <v>142</v>
      </c>
      <c r="E146" s="11" t="s">
        <v>452</v>
      </c>
      <c r="V146" s="28" t="s">
        <v>56</v>
      </c>
      <c r="W146" s="14">
        <v>100</v>
      </c>
      <c r="X146" s="14" t="s">
        <v>60</v>
      </c>
      <c r="Y146" s="14" t="s">
        <v>58</v>
      </c>
    </row>
    <row r="147" spans="1:25" x14ac:dyDescent="0.15">
      <c r="A147" s="11">
        <f t="shared" si="4"/>
        <v>143</v>
      </c>
      <c r="E147" s="11" t="s">
        <v>453</v>
      </c>
      <c r="V147" s="28" t="s">
        <v>72</v>
      </c>
      <c r="X147" s="14" t="s">
        <v>60</v>
      </c>
      <c r="Y147" s="14" t="s">
        <v>64</v>
      </c>
    </row>
    <row r="148" spans="1:25" x14ac:dyDescent="0.15">
      <c r="A148" s="11">
        <f t="shared" si="4"/>
        <v>144</v>
      </c>
      <c r="E148" s="11" t="s">
        <v>454</v>
      </c>
      <c r="V148" s="28" t="s">
        <v>56</v>
      </c>
      <c r="W148" s="14">
        <v>100</v>
      </c>
      <c r="X148" s="14" t="s">
        <v>60</v>
      </c>
      <c r="Y148" s="14" t="s">
        <v>58</v>
      </c>
    </row>
    <row r="149" spans="1:25" x14ac:dyDescent="0.15">
      <c r="A149" s="11">
        <f t="shared" si="4"/>
        <v>145</v>
      </c>
      <c r="E149" s="11" t="s">
        <v>455</v>
      </c>
      <c r="V149" s="28" t="s">
        <v>56</v>
      </c>
      <c r="W149" s="14">
        <v>100</v>
      </c>
      <c r="X149" s="14" t="s">
        <v>60</v>
      </c>
      <c r="Y149" s="14" t="s">
        <v>58</v>
      </c>
    </row>
    <row r="150" spans="1:25" x14ac:dyDescent="0.15">
      <c r="A150" s="11">
        <f t="shared" si="4"/>
        <v>146</v>
      </c>
      <c r="E150" s="11" t="s">
        <v>456</v>
      </c>
      <c r="V150" s="28" t="s">
        <v>72</v>
      </c>
      <c r="X150" s="14" t="s">
        <v>60</v>
      </c>
      <c r="Y150" s="14" t="s">
        <v>64</v>
      </c>
    </row>
    <row r="151" spans="1:25" x14ac:dyDescent="0.15">
      <c r="A151" s="11">
        <f t="shared" si="4"/>
        <v>147</v>
      </c>
      <c r="E151" s="11" t="s">
        <v>457</v>
      </c>
      <c r="V151" s="28" t="s">
        <v>56</v>
      </c>
      <c r="W151" s="14">
        <v>100</v>
      </c>
      <c r="X151" s="14" t="s">
        <v>60</v>
      </c>
      <c r="Y151" s="14" t="s">
        <v>58</v>
      </c>
    </row>
    <row r="152" spans="1:25" x14ac:dyDescent="0.15">
      <c r="A152" s="11">
        <f t="shared" si="4"/>
        <v>148</v>
      </c>
      <c r="E152" s="11" t="s">
        <v>458</v>
      </c>
      <c r="V152" s="28" t="s">
        <v>56</v>
      </c>
      <c r="W152" s="14">
        <v>100</v>
      </c>
      <c r="X152" s="14" t="s">
        <v>60</v>
      </c>
      <c r="Y152" s="14" t="s">
        <v>58</v>
      </c>
    </row>
    <row r="153" spans="1:25" x14ac:dyDescent="0.15">
      <c r="A153" s="11">
        <f t="shared" si="4"/>
        <v>149</v>
      </c>
      <c r="E153" s="11" t="s">
        <v>459</v>
      </c>
      <c r="V153" s="28" t="s">
        <v>72</v>
      </c>
      <c r="X153" s="14" t="s">
        <v>60</v>
      </c>
      <c r="Y153" s="14" t="s">
        <v>64</v>
      </c>
    </row>
    <row r="154" spans="1:25" x14ac:dyDescent="0.15">
      <c r="A154" s="11">
        <f t="shared" si="4"/>
        <v>150</v>
      </c>
      <c r="E154" s="11" t="s">
        <v>460</v>
      </c>
      <c r="V154" s="28" t="s">
        <v>56</v>
      </c>
      <c r="W154" s="14">
        <v>100</v>
      </c>
      <c r="X154" s="14" t="s">
        <v>60</v>
      </c>
      <c r="Y154" s="14" t="s">
        <v>58</v>
      </c>
    </row>
    <row r="155" spans="1:25" x14ac:dyDescent="0.15">
      <c r="A155" s="11">
        <f t="shared" si="4"/>
        <v>151</v>
      </c>
      <c r="E155" s="11" t="s">
        <v>461</v>
      </c>
      <c r="V155" s="28" t="s">
        <v>56</v>
      </c>
      <c r="W155" s="14">
        <v>100</v>
      </c>
      <c r="X155" s="14" t="s">
        <v>60</v>
      </c>
      <c r="Y155" s="14" t="s">
        <v>58</v>
      </c>
    </row>
    <row r="156" spans="1:25" x14ac:dyDescent="0.15">
      <c r="A156" s="11">
        <f t="shared" si="4"/>
        <v>152</v>
      </c>
      <c r="E156" s="11" t="s">
        <v>462</v>
      </c>
      <c r="V156" s="28" t="s">
        <v>72</v>
      </c>
      <c r="X156" s="14" t="s">
        <v>60</v>
      </c>
      <c r="Y156" s="14" t="s">
        <v>64</v>
      </c>
    </row>
    <row r="157" spans="1:25" x14ac:dyDescent="0.15">
      <c r="A157" s="11">
        <f t="shared" si="4"/>
        <v>153</v>
      </c>
      <c r="E157" s="11" t="s">
        <v>463</v>
      </c>
      <c r="V157" s="28" t="s">
        <v>56</v>
      </c>
      <c r="W157" s="14">
        <v>100</v>
      </c>
      <c r="X157" s="14" t="s">
        <v>60</v>
      </c>
      <c r="Y157" s="14" t="s">
        <v>58</v>
      </c>
    </row>
    <row r="158" spans="1:25" x14ac:dyDescent="0.15">
      <c r="A158" s="11">
        <f t="shared" si="4"/>
        <v>154</v>
      </c>
      <c r="E158" s="11" t="s">
        <v>464</v>
      </c>
      <c r="V158" s="28" t="s">
        <v>56</v>
      </c>
      <c r="W158" s="14">
        <v>100</v>
      </c>
      <c r="X158" s="14" t="s">
        <v>60</v>
      </c>
      <c r="Y158" s="14" t="s">
        <v>58</v>
      </c>
    </row>
    <row r="159" spans="1:25" x14ac:dyDescent="0.15">
      <c r="A159" s="11">
        <f t="shared" si="4"/>
        <v>155</v>
      </c>
      <c r="E159" s="11" t="s">
        <v>465</v>
      </c>
      <c r="V159" s="28" t="s">
        <v>72</v>
      </c>
      <c r="X159" s="14" t="s">
        <v>60</v>
      </c>
      <c r="Y159" s="14" t="s">
        <v>64</v>
      </c>
    </row>
    <row r="160" spans="1:25" x14ac:dyDescent="0.15">
      <c r="A160" s="11">
        <f t="shared" si="4"/>
        <v>156</v>
      </c>
      <c r="E160" s="11" t="s">
        <v>208</v>
      </c>
      <c r="V160" s="28" t="s">
        <v>89</v>
      </c>
      <c r="X160" s="14" t="s">
        <v>60</v>
      </c>
      <c r="Y160" s="14" t="s">
        <v>64</v>
      </c>
    </row>
    <row r="161" spans="1:26" x14ac:dyDescent="0.15">
      <c r="A161" s="11">
        <f t="shared" si="4"/>
        <v>157</v>
      </c>
      <c r="E161" s="11" t="s">
        <v>466</v>
      </c>
      <c r="G161" s="14">
        <v>1</v>
      </c>
      <c r="V161" s="28" t="s">
        <v>56</v>
      </c>
      <c r="W161" s="14">
        <v>250</v>
      </c>
      <c r="X161" s="14" t="s">
        <v>60</v>
      </c>
      <c r="Y161" s="14" t="s">
        <v>58</v>
      </c>
    </row>
    <row r="162" spans="1:26" x14ac:dyDescent="0.15">
      <c r="A162" s="11">
        <f t="shared" si="4"/>
        <v>158</v>
      </c>
      <c r="E162" s="11" t="s">
        <v>467</v>
      </c>
      <c r="V162" s="28" t="s">
        <v>56</v>
      </c>
      <c r="W162" s="14">
        <v>250</v>
      </c>
      <c r="X162" s="14" t="s">
        <v>60</v>
      </c>
      <c r="Y162" s="14" t="s">
        <v>58</v>
      </c>
    </row>
    <row r="163" spans="1:26" x14ac:dyDescent="0.15">
      <c r="A163" s="11">
        <f t="shared" si="4"/>
        <v>159</v>
      </c>
      <c r="E163" s="11" t="s">
        <v>468</v>
      </c>
      <c r="V163" s="28" t="s">
        <v>56</v>
      </c>
      <c r="W163" s="14">
        <v>100</v>
      </c>
      <c r="X163" s="14" t="s">
        <v>60</v>
      </c>
      <c r="Y163" s="14" t="s">
        <v>58</v>
      </c>
    </row>
    <row r="164" spans="1:26" x14ac:dyDescent="0.15">
      <c r="A164" s="11">
        <f t="shared" si="4"/>
        <v>160</v>
      </c>
      <c r="E164" s="11" t="s">
        <v>469</v>
      </c>
      <c r="V164" s="28" t="s">
        <v>56</v>
      </c>
      <c r="W164" s="14">
        <v>100</v>
      </c>
      <c r="X164" s="14" t="s">
        <v>60</v>
      </c>
      <c r="Y164" s="14" t="s">
        <v>58</v>
      </c>
    </row>
    <row r="165" spans="1:26" x14ac:dyDescent="0.15">
      <c r="A165" s="11">
        <f t="shared" si="4"/>
        <v>161</v>
      </c>
      <c r="E165" s="11" t="s">
        <v>470</v>
      </c>
      <c r="V165" s="28" t="s">
        <v>56</v>
      </c>
      <c r="W165" s="14">
        <v>10</v>
      </c>
      <c r="X165" s="14" t="s">
        <v>60</v>
      </c>
      <c r="Y165" s="14" t="s">
        <v>58</v>
      </c>
    </row>
    <row r="166" spans="1:26" x14ac:dyDescent="0.15">
      <c r="A166" s="11">
        <f t="shared" si="4"/>
        <v>162</v>
      </c>
      <c r="E166" s="11" t="s">
        <v>471</v>
      </c>
      <c r="V166" s="28" t="s">
        <v>56</v>
      </c>
      <c r="W166" s="14">
        <v>255</v>
      </c>
      <c r="X166" s="14" t="s">
        <v>60</v>
      </c>
      <c r="Y166" s="14" t="s">
        <v>58</v>
      </c>
    </row>
    <row r="167" spans="1:26" x14ac:dyDescent="0.15">
      <c r="A167" s="11">
        <f t="shared" si="4"/>
        <v>163</v>
      </c>
      <c r="E167" s="11" t="s">
        <v>472</v>
      </c>
      <c r="V167" s="28" t="s">
        <v>80</v>
      </c>
      <c r="X167" s="14" t="s">
        <v>60</v>
      </c>
      <c r="Y167" s="14" t="s">
        <v>64</v>
      </c>
    </row>
    <row r="168" spans="1:26" x14ac:dyDescent="0.15">
      <c r="A168" s="11">
        <f t="shared" si="4"/>
        <v>164</v>
      </c>
      <c r="E168" s="11" t="s">
        <v>473</v>
      </c>
      <c r="V168" s="28" t="s">
        <v>80</v>
      </c>
      <c r="X168" s="14" t="s">
        <v>60</v>
      </c>
      <c r="Y168" s="14" t="s">
        <v>64</v>
      </c>
    </row>
    <row r="169" spans="1:26" x14ac:dyDescent="0.15">
      <c r="A169" s="11">
        <f t="shared" si="4"/>
        <v>165</v>
      </c>
      <c r="B169" s="44"/>
      <c r="C169" s="44"/>
      <c r="D169" s="44"/>
      <c r="E169" s="11" t="s">
        <v>729</v>
      </c>
      <c r="V169" s="44" t="s">
        <v>80</v>
      </c>
      <c r="X169" s="14" t="s">
        <v>60</v>
      </c>
      <c r="Y169" s="14" t="s">
        <v>64</v>
      </c>
      <c r="Z169" s="15" t="s">
        <v>730</v>
      </c>
    </row>
    <row r="170" spans="1:26" x14ac:dyDescent="0.15">
      <c r="A170" s="11">
        <f t="shared" si="4"/>
        <v>166</v>
      </c>
      <c r="E170" s="11" t="s">
        <v>474</v>
      </c>
      <c r="V170" s="28" t="s">
        <v>89</v>
      </c>
      <c r="X170" s="14" t="s">
        <v>60</v>
      </c>
      <c r="Y170" s="14" t="s">
        <v>64</v>
      </c>
    </row>
    <row r="171" spans="1:26" x14ac:dyDescent="0.15">
      <c r="A171" s="11">
        <f t="shared" ref="A171:A185" si="5">ROW()-4</f>
        <v>167</v>
      </c>
      <c r="E171" s="11" t="s">
        <v>475</v>
      </c>
      <c r="V171" s="28" t="s">
        <v>56</v>
      </c>
      <c r="W171" s="14">
        <v>255</v>
      </c>
      <c r="X171" s="14" t="s">
        <v>60</v>
      </c>
      <c r="Y171" s="14" t="s">
        <v>58</v>
      </c>
    </row>
    <row r="172" spans="1:26" x14ac:dyDescent="0.15">
      <c r="A172" s="11">
        <f t="shared" si="5"/>
        <v>168</v>
      </c>
      <c r="E172" s="11" t="s">
        <v>476</v>
      </c>
      <c r="V172" s="28" t="s">
        <v>89</v>
      </c>
      <c r="X172" s="14" t="s">
        <v>60</v>
      </c>
      <c r="Y172" s="14" t="s">
        <v>64</v>
      </c>
    </row>
    <row r="173" spans="1:26" x14ac:dyDescent="0.15">
      <c r="A173" s="11">
        <f t="shared" si="5"/>
        <v>169</v>
      </c>
      <c r="E173" s="11" t="s">
        <v>477</v>
      </c>
      <c r="V173" s="28" t="s">
        <v>89</v>
      </c>
      <c r="X173" s="14" t="s">
        <v>60</v>
      </c>
      <c r="Y173" s="14" t="s">
        <v>64</v>
      </c>
    </row>
    <row r="174" spans="1:26" x14ac:dyDescent="0.15">
      <c r="A174" s="11">
        <f t="shared" si="5"/>
        <v>170</v>
      </c>
      <c r="E174" s="11" t="s">
        <v>478</v>
      </c>
      <c r="V174" s="28" t="s">
        <v>63</v>
      </c>
      <c r="X174" s="14" t="s">
        <v>64</v>
      </c>
      <c r="Y174" s="14" t="s">
        <v>64</v>
      </c>
    </row>
    <row r="175" spans="1:26" x14ac:dyDescent="0.15">
      <c r="A175" s="11">
        <f t="shared" si="5"/>
        <v>171</v>
      </c>
      <c r="E175" s="11" t="s">
        <v>479</v>
      </c>
      <c r="V175" s="28" t="s">
        <v>56</v>
      </c>
      <c r="W175" s="14">
        <v>50</v>
      </c>
      <c r="X175" s="14" t="s">
        <v>60</v>
      </c>
      <c r="Y175" s="14" t="s">
        <v>58</v>
      </c>
    </row>
    <row r="176" spans="1:26" x14ac:dyDescent="0.15">
      <c r="A176" s="11">
        <f t="shared" si="5"/>
        <v>172</v>
      </c>
      <c r="E176" s="11" t="s">
        <v>480</v>
      </c>
      <c r="V176" s="28" t="s">
        <v>56</v>
      </c>
      <c r="W176" s="14">
        <v>255</v>
      </c>
      <c r="X176" s="14" t="s">
        <v>60</v>
      </c>
      <c r="Y176" s="14" t="s">
        <v>58</v>
      </c>
    </row>
    <row r="177" spans="1:26" x14ac:dyDescent="0.15">
      <c r="A177" s="11">
        <f t="shared" si="5"/>
        <v>173</v>
      </c>
      <c r="E177" s="11" t="s">
        <v>157</v>
      </c>
      <c r="V177" s="28" t="s">
        <v>63</v>
      </c>
      <c r="X177" s="14" t="s">
        <v>64</v>
      </c>
      <c r="Y177" s="14" t="s">
        <v>64</v>
      </c>
    </row>
    <row r="178" spans="1:26" x14ac:dyDescent="0.15">
      <c r="A178" s="11">
        <f t="shared" si="5"/>
        <v>174</v>
      </c>
      <c r="E178" s="11" t="s">
        <v>311</v>
      </c>
      <c r="V178" s="28" t="s">
        <v>56</v>
      </c>
      <c r="W178" s="14">
        <v>255</v>
      </c>
      <c r="X178" s="14" t="s">
        <v>60</v>
      </c>
      <c r="Y178" s="14" t="s">
        <v>58</v>
      </c>
    </row>
    <row r="179" spans="1:26" x14ac:dyDescent="0.15">
      <c r="A179" s="11">
        <f t="shared" si="5"/>
        <v>175</v>
      </c>
      <c r="E179" s="11" t="s">
        <v>481</v>
      </c>
      <c r="V179" s="28" t="s">
        <v>80</v>
      </c>
      <c r="X179" s="14" t="s">
        <v>60</v>
      </c>
      <c r="Y179" s="14" t="s">
        <v>64</v>
      </c>
    </row>
    <row r="180" spans="1:26" x14ac:dyDescent="0.15">
      <c r="A180" s="11">
        <f t="shared" si="5"/>
        <v>176</v>
      </c>
      <c r="E180" s="11" t="s">
        <v>482</v>
      </c>
      <c r="V180" s="28" t="s">
        <v>89</v>
      </c>
      <c r="X180" s="14" t="s">
        <v>60</v>
      </c>
      <c r="Y180" s="14" t="s">
        <v>64</v>
      </c>
    </row>
    <row r="181" spans="1:26" x14ac:dyDescent="0.15">
      <c r="A181" s="11">
        <f t="shared" si="5"/>
        <v>177</v>
      </c>
      <c r="E181" s="11" t="s">
        <v>95</v>
      </c>
      <c r="V181" s="28" t="s">
        <v>80</v>
      </c>
      <c r="X181" s="14" t="s">
        <v>60</v>
      </c>
      <c r="Y181" s="14" t="s">
        <v>64</v>
      </c>
    </row>
    <row r="182" spans="1:26" x14ac:dyDescent="0.15">
      <c r="A182" s="11">
        <f t="shared" si="5"/>
        <v>178</v>
      </c>
      <c r="E182" s="11" t="s">
        <v>322</v>
      </c>
      <c r="V182" s="28" t="s">
        <v>56</v>
      </c>
      <c r="W182" s="14">
        <v>1</v>
      </c>
      <c r="X182" s="14" t="s">
        <v>60</v>
      </c>
      <c r="Y182" s="14" t="s">
        <v>58</v>
      </c>
    </row>
    <row r="183" spans="1:26" x14ac:dyDescent="0.15">
      <c r="A183" s="11">
        <f t="shared" si="5"/>
        <v>179</v>
      </c>
      <c r="E183" s="11" t="s">
        <v>483</v>
      </c>
      <c r="V183" s="28" t="s">
        <v>80</v>
      </c>
      <c r="X183" s="14" t="s">
        <v>60</v>
      </c>
      <c r="Y183" s="14" t="s">
        <v>64</v>
      </c>
    </row>
    <row r="184" spans="1:26" x14ac:dyDescent="0.15">
      <c r="A184" s="11">
        <f t="shared" si="5"/>
        <v>180</v>
      </c>
      <c r="E184" s="11" t="s">
        <v>98</v>
      </c>
      <c r="V184" s="28" t="s">
        <v>63</v>
      </c>
      <c r="X184" s="14" t="s">
        <v>64</v>
      </c>
      <c r="Y184" s="14" t="s">
        <v>64</v>
      </c>
    </row>
    <row r="185" spans="1:26" x14ac:dyDescent="0.15">
      <c r="A185" s="11">
        <f t="shared" si="5"/>
        <v>181</v>
      </c>
      <c r="E185" s="11" t="s">
        <v>731</v>
      </c>
      <c r="V185" s="45" t="s">
        <v>80</v>
      </c>
      <c r="X185" s="14" t="s">
        <v>60</v>
      </c>
      <c r="Y185" s="14" t="s">
        <v>64</v>
      </c>
      <c r="Z185" s="15" t="s">
        <v>732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43 A1:A1048576"/>
    <dataValidation type="whole" imeMode="off" operator="greaterThanOrEqual" allowBlank="1" showInputMessage="1" showErrorMessage="1" sqref="W3:W65543 F2:U65543">
      <formula1>1</formula1>
    </dataValidation>
    <dataValidation type="list" imeMode="on" allowBlank="1" showInputMessage="1" showErrorMessage="1" sqref="X4:X65543">
      <formula1>INDIRECT($AC$1,FALSE)</formula1>
    </dataValidation>
    <dataValidation type="list" allowBlank="1" showInputMessage="1" showErrorMessage="1" sqref="Y4:Y65543">
      <formula1>INDIRECT($AC$2,FALSE)</formula1>
    </dataValidation>
    <dataValidation type="list" allowBlank="1" showInputMessage="1" showErrorMessage="1" sqref="V4:V65543">
      <formula1>INDIRECT($AB$1,FALSE)</formula1>
    </dataValidation>
    <dataValidation imeMode="on" allowBlank="1" showInputMessage="1" showErrorMessage="1" sqref="W1:AA2 C1:U1 C3:D9 B9 B1:B4 B10:D65543 Z4:AA65543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7" t="s">
        <v>3</v>
      </c>
      <c r="B1" s="68"/>
      <c r="C1" s="55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7"/>
      <c r="V1" s="61" t="s">
        <v>4</v>
      </c>
      <c r="W1" s="50"/>
      <c r="X1" s="50"/>
      <c r="Y1" s="50"/>
      <c r="Z1" s="50"/>
      <c r="AA1" s="50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6" t="s">
        <v>49</v>
      </c>
      <c r="B2" s="47"/>
      <c r="C2" s="58" t="s">
        <v>488</v>
      </c>
      <c r="D2" s="59"/>
      <c r="E2" s="60"/>
      <c r="F2" s="63" t="s">
        <v>5</v>
      </c>
      <c r="G2" s="65" t="s">
        <v>47</v>
      </c>
      <c r="H2" s="65"/>
      <c r="I2" s="65"/>
      <c r="J2" s="65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2"/>
      <c r="W2" s="51"/>
      <c r="X2" s="51"/>
      <c r="Y2" s="51"/>
      <c r="Z2" s="51"/>
      <c r="AA2" s="51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2" t="s">
        <v>0</v>
      </c>
      <c r="C3" s="53"/>
      <c r="D3" s="54"/>
      <c r="E3" s="25" t="s">
        <v>53</v>
      </c>
      <c r="F3" s="64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8" t="s">
        <v>2</v>
      </c>
      <c r="AA3" s="49"/>
    </row>
    <row r="4" spans="1:29" s="11" customFormat="1" ht="11.25" customHeight="1" x14ac:dyDescent="0.15">
      <c r="A4" s="7">
        <f t="shared" ref="A4:A17" si="0">ROW()-4</f>
        <v>0</v>
      </c>
      <c r="B4" s="24"/>
      <c r="C4" s="13"/>
      <c r="D4" s="13"/>
      <c r="E4" s="8" t="s">
        <v>319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57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>
        <v>1</v>
      </c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>
        <v>1</v>
      </c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57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57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489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490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10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227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491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50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492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238</v>
      </c>
      <c r="W13" s="9"/>
      <c r="X13" s="9" t="s">
        <v>60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493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50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494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100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167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100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128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72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1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1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1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1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AC110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7" t="s">
        <v>3</v>
      </c>
      <c r="B1" s="68"/>
      <c r="C1" s="55" t="s">
        <v>496</v>
      </c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7"/>
      <c r="V1" s="61" t="s">
        <v>4</v>
      </c>
      <c r="W1" s="50"/>
      <c r="X1" s="50"/>
      <c r="Y1" s="50"/>
      <c r="Z1" s="50"/>
      <c r="AA1" s="50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6" t="s">
        <v>49</v>
      </c>
      <c r="B2" s="47"/>
      <c r="C2" s="58" t="s">
        <v>495</v>
      </c>
      <c r="D2" s="59"/>
      <c r="E2" s="60"/>
      <c r="F2" s="63" t="s">
        <v>5</v>
      </c>
      <c r="G2" s="65" t="s">
        <v>47</v>
      </c>
      <c r="H2" s="65"/>
      <c r="I2" s="65"/>
      <c r="J2" s="65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2"/>
      <c r="W2" s="51"/>
      <c r="X2" s="51"/>
      <c r="Y2" s="51"/>
      <c r="Z2" s="51"/>
      <c r="AA2" s="51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2" t="s">
        <v>0</v>
      </c>
      <c r="C3" s="53"/>
      <c r="D3" s="54"/>
      <c r="E3" s="25" t="s">
        <v>53</v>
      </c>
      <c r="F3" s="64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8" t="s">
        <v>2</v>
      </c>
      <c r="AA3" s="49"/>
    </row>
    <row r="4" spans="1:29" s="11" customFormat="1" ht="11.25" customHeight="1" x14ac:dyDescent="0.15">
      <c r="A4" s="7">
        <f t="shared" ref="A4:A35" si="0">ROW()-4</f>
        <v>0</v>
      </c>
      <c r="B4" s="24"/>
      <c r="C4" s="13"/>
      <c r="D4" s="13"/>
      <c r="E4" s="8" t="s">
        <v>319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69" t="s">
        <v>76</v>
      </c>
      <c r="C5" s="69"/>
      <c r="D5" s="69"/>
      <c r="E5" s="8" t="s">
        <v>76</v>
      </c>
      <c r="F5" s="9">
        <v>1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7</v>
      </c>
      <c r="X5" s="9" t="s">
        <v>57</v>
      </c>
      <c r="Y5" s="9" t="s">
        <v>114</v>
      </c>
      <c r="Z5" s="10"/>
      <c r="AA5" s="10"/>
    </row>
    <row r="6" spans="1:29" s="11" customFormat="1" x14ac:dyDescent="0.15">
      <c r="A6" s="12">
        <f t="shared" si="0"/>
        <v>2</v>
      </c>
      <c r="B6" s="69" t="s">
        <v>77</v>
      </c>
      <c r="C6" s="69"/>
      <c r="D6" s="69"/>
      <c r="E6" s="8" t="s">
        <v>77</v>
      </c>
      <c r="F6" s="9">
        <v>2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3</v>
      </c>
      <c r="X6" s="9" t="s">
        <v>57</v>
      </c>
      <c r="Y6" s="9" t="s">
        <v>114</v>
      </c>
      <c r="Z6" s="10"/>
      <c r="AA6" s="10"/>
    </row>
    <row r="7" spans="1:29" s="11" customFormat="1" x14ac:dyDescent="0.15">
      <c r="A7" s="12">
        <f t="shared" si="0"/>
        <v>3</v>
      </c>
      <c r="B7" s="69" t="s">
        <v>78</v>
      </c>
      <c r="C7" s="69"/>
      <c r="D7" s="69"/>
      <c r="E7" s="8" t="s">
        <v>78</v>
      </c>
      <c r="F7" s="9">
        <v>3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4</v>
      </c>
      <c r="X7" s="9" t="s">
        <v>57</v>
      </c>
      <c r="Y7" s="9" t="s">
        <v>114</v>
      </c>
      <c r="Z7" s="10"/>
      <c r="AA7" s="10"/>
    </row>
    <row r="8" spans="1:29" s="11" customFormat="1" x14ac:dyDescent="0.15">
      <c r="A8" s="12">
        <f t="shared" si="0"/>
        <v>4</v>
      </c>
      <c r="B8" s="69" t="s">
        <v>79</v>
      </c>
      <c r="C8" s="69"/>
      <c r="D8" s="69"/>
      <c r="E8" s="8" t="s">
        <v>79</v>
      </c>
      <c r="F8" s="9">
        <v>4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57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69" t="s">
        <v>497</v>
      </c>
      <c r="C9" s="69"/>
      <c r="D9" s="69"/>
      <c r="E9" s="8" t="s">
        <v>497</v>
      </c>
      <c r="F9" s="9">
        <v>5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69" t="s">
        <v>498</v>
      </c>
      <c r="C10" s="69"/>
      <c r="D10" s="69"/>
      <c r="E10" s="8" t="s">
        <v>344</v>
      </c>
      <c r="F10" s="9">
        <v>6</v>
      </c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80</v>
      </c>
      <c r="W10" s="9"/>
      <c r="X10" s="9" t="s">
        <v>57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69" t="s">
        <v>341</v>
      </c>
      <c r="C11" s="69"/>
      <c r="D11" s="69"/>
      <c r="E11" s="8" t="s">
        <v>341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69" t="s">
        <v>342</v>
      </c>
      <c r="C12" s="69"/>
      <c r="D12" s="69"/>
      <c r="E12" s="8" t="s">
        <v>342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69" t="s">
        <v>343</v>
      </c>
      <c r="C13" s="69"/>
      <c r="D13" s="69"/>
      <c r="E13" s="8" t="s">
        <v>343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80</v>
      </c>
      <c r="W13" s="9"/>
      <c r="X13" s="9" t="s">
        <v>60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69" t="s">
        <v>73</v>
      </c>
      <c r="C14" s="69"/>
      <c r="D14" s="69"/>
      <c r="E14" s="11" t="s">
        <v>73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80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69" t="s">
        <v>71</v>
      </c>
      <c r="C15" s="69"/>
      <c r="D15" s="69"/>
      <c r="E15" s="11" t="s">
        <v>71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80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69" t="s">
        <v>499</v>
      </c>
      <c r="C16" s="69"/>
      <c r="D16" s="69"/>
      <c r="E16" s="11" t="s">
        <v>499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30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70" t="s">
        <v>313</v>
      </c>
      <c r="C17" s="70"/>
      <c r="D17" s="70"/>
      <c r="E17" s="11" t="s">
        <v>313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1</v>
      </c>
      <c r="X17" s="14" t="s">
        <v>60</v>
      </c>
      <c r="Y17" s="14" t="s">
        <v>58</v>
      </c>
      <c r="Z17" s="15"/>
      <c r="AA17" s="15"/>
    </row>
    <row r="18" spans="1:27" s="11" customFormat="1" x14ac:dyDescent="0.15">
      <c r="A18" s="11">
        <f t="shared" si="0"/>
        <v>14</v>
      </c>
      <c r="B18" s="70" t="s">
        <v>226</v>
      </c>
      <c r="C18" s="70"/>
      <c r="D18" s="70"/>
      <c r="E18" s="11" t="s">
        <v>226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70" t="s">
        <v>500</v>
      </c>
      <c r="C19" s="70"/>
      <c r="D19" s="70"/>
      <c r="E19" s="11" t="s">
        <v>500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3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70" t="s">
        <v>501</v>
      </c>
      <c r="C20" s="70"/>
      <c r="D20" s="70"/>
      <c r="E20" s="11" t="s">
        <v>502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3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70" t="s">
        <v>372</v>
      </c>
      <c r="C21" s="70"/>
      <c r="D21" s="70"/>
      <c r="E21" s="11" t="s">
        <v>372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B22" s="70" t="s">
        <v>503</v>
      </c>
      <c r="C22" s="70"/>
      <c r="D22" s="70"/>
      <c r="E22" s="11" t="s">
        <v>503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B23" s="70" t="s">
        <v>504</v>
      </c>
      <c r="C23" s="70"/>
      <c r="D23" s="70"/>
      <c r="E23" s="11" t="s">
        <v>505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B24" s="70" t="s">
        <v>506</v>
      </c>
      <c r="C24" s="70"/>
      <c r="D24" s="70"/>
      <c r="E24" s="11" t="s">
        <v>507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B25" s="70" t="s">
        <v>508</v>
      </c>
      <c r="C25" s="70"/>
      <c r="D25" s="70"/>
      <c r="E25" s="11" t="s">
        <v>508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B26" s="70" t="s">
        <v>371</v>
      </c>
      <c r="C26" s="70"/>
      <c r="D26" s="70"/>
      <c r="E26" s="11" t="s">
        <v>371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B27" s="70" t="s">
        <v>509</v>
      </c>
      <c r="C27" s="70"/>
      <c r="D27" s="70"/>
      <c r="E27" s="11" t="s">
        <v>509</v>
      </c>
      <c r="V27" s="2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B28" s="70" t="s">
        <v>510</v>
      </c>
      <c r="C28" s="70"/>
      <c r="D28" s="70"/>
      <c r="E28" s="11" t="s">
        <v>510</v>
      </c>
      <c r="V28" s="28" t="s">
        <v>56</v>
      </c>
      <c r="W28" s="14">
        <v>2</v>
      </c>
      <c r="X28" s="14" t="s">
        <v>60</v>
      </c>
      <c r="Y28" s="14" t="s">
        <v>58</v>
      </c>
    </row>
    <row r="29" spans="1:27" x14ac:dyDescent="0.15">
      <c r="A29" s="11">
        <f t="shared" si="0"/>
        <v>25</v>
      </c>
      <c r="B29" s="70" t="s">
        <v>511</v>
      </c>
      <c r="C29" s="70"/>
      <c r="D29" s="70"/>
      <c r="E29" s="11" t="s">
        <v>511</v>
      </c>
      <c r="V29" s="28" t="s">
        <v>56</v>
      </c>
      <c r="W29" s="14">
        <v>3</v>
      </c>
      <c r="X29" s="14" t="s">
        <v>60</v>
      </c>
      <c r="Y29" s="14" t="s">
        <v>58</v>
      </c>
    </row>
    <row r="30" spans="1:27" x14ac:dyDescent="0.15">
      <c r="A30" s="11">
        <f t="shared" si="0"/>
        <v>26</v>
      </c>
      <c r="B30" s="70" t="s">
        <v>512</v>
      </c>
      <c r="C30" s="70"/>
      <c r="D30" s="70"/>
      <c r="E30" s="11" t="s">
        <v>513</v>
      </c>
      <c r="V30" s="28" t="s">
        <v>80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B31" s="70" t="s">
        <v>514</v>
      </c>
      <c r="C31" s="70"/>
      <c r="D31" s="70"/>
      <c r="E31" s="11" t="s">
        <v>515</v>
      </c>
      <c r="V31" s="28" t="s">
        <v>80</v>
      </c>
      <c r="X31" s="14" t="s">
        <v>60</v>
      </c>
      <c r="Y31" s="14" t="s">
        <v>64</v>
      </c>
    </row>
    <row r="32" spans="1:27" x14ac:dyDescent="0.15">
      <c r="A32" s="11">
        <f t="shared" si="0"/>
        <v>28</v>
      </c>
      <c r="B32" s="70" t="s">
        <v>516</v>
      </c>
      <c r="C32" s="70"/>
      <c r="D32" s="70"/>
      <c r="E32" s="11" t="s">
        <v>517</v>
      </c>
      <c r="V32" s="28" t="s">
        <v>56</v>
      </c>
      <c r="W32" s="14">
        <v>10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B33" s="70" t="s">
        <v>518</v>
      </c>
      <c r="C33" s="70"/>
      <c r="D33" s="70"/>
      <c r="E33" s="11" t="s">
        <v>519</v>
      </c>
      <c r="V33" s="28" t="s">
        <v>80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B34" s="70" t="s">
        <v>520</v>
      </c>
      <c r="C34" s="70"/>
      <c r="D34" s="70"/>
      <c r="E34" s="11" t="s">
        <v>521</v>
      </c>
      <c r="V34" s="28" t="s">
        <v>56</v>
      </c>
      <c r="W34" s="14">
        <v>10</v>
      </c>
      <c r="X34" s="14" t="s">
        <v>60</v>
      </c>
      <c r="Y34" s="14" t="s">
        <v>58</v>
      </c>
    </row>
    <row r="35" spans="1:25" x14ac:dyDescent="0.15">
      <c r="A35" s="11">
        <f t="shared" si="0"/>
        <v>31</v>
      </c>
      <c r="B35" s="70" t="s">
        <v>522</v>
      </c>
      <c r="C35" s="70"/>
      <c r="D35" s="70"/>
      <c r="E35" s="11" t="s">
        <v>523</v>
      </c>
      <c r="V35" s="28" t="s">
        <v>80</v>
      </c>
      <c r="X35" s="14" t="s">
        <v>60</v>
      </c>
      <c r="Y35" s="14" t="s">
        <v>64</v>
      </c>
    </row>
    <row r="36" spans="1:25" x14ac:dyDescent="0.15">
      <c r="A36" s="11">
        <f t="shared" ref="A36:A67" si="1">ROW()-4</f>
        <v>32</v>
      </c>
      <c r="B36" s="70" t="s">
        <v>524</v>
      </c>
      <c r="C36" s="70"/>
      <c r="D36" s="70"/>
      <c r="E36" s="11" t="s">
        <v>525</v>
      </c>
      <c r="V36" s="28" t="s">
        <v>56</v>
      </c>
      <c r="W36" s="14">
        <v>10</v>
      </c>
      <c r="X36" s="14" t="s">
        <v>60</v>
      </c>
      <c r="Y36" s="14" t="s">
        <v>58</v>
      </c>
    </row>
    <row r="37" spans="1:25" x14ac:dyDescent="0.15">
      <c r="A37" s="11">
        <f t="shared" si="1"/>
        <v>33</v>
      </c>
      <c r="B37" s="70" t="s">
        <v>526</v>
      </c>
      <c r="C37" s="70"/>
      <c r="D37" s="70"/>
      <c r="E37" s="11" t="s">
        <v>527</v>
      </c>
      <c r="V37" s="28" t="s">
        <v>80</v>
      </c>
      <c r="X37" s="14" t="s">
        <v>60</v>
      </c>
      <c r="Y37" s="14" t="s">
        <v>64</v>
      </c>
    </row>
    <row r="38" spans="1:25" x14ac:dyDescent="0.15">
      <c r="A38" s="11">
        <f t="shared" si="1"/>
        <v>34</v>
      </c>
      <c r="B38" s="70" t="s">
        <v>528</v>
      </c>
      <c r="C38" s="70"/>
      <c r="D38" s="70"/>
      <c r="E38" s="11" t="s">
        <v>529</v>
      </c>
      <c r="V38" s="28" t="s">
        <v>56</v>
      </c>
      <c r="W38" s="14">
        <v>10</v>
      </c>
      <c r="X38" s="14" t="s">
        <v>60</v>
      </c>
      <c r="Y38" s="14" t="s">
        <v>58</v>
      </c>
    </row>
    <row r="39" spans="1:25" x14ac:dyDescent="0.15">
      <c r="A39" s="11">
        <f t="shared" si="1"/>
        <v>35</v>
      </c>
      <c r="B39" s="70" t="s">
        <v>530</v>
      </c>
      <c r="C39" s="70"/>
      <c r="D39" s="70"/>
      <c r="E39" s="11" t="s">
        <v>531</v>
      </c>
      <c r="V39" s="28" t="s">
        <v>80</v>
      </c>
      <c r="X39" s="14" t="s">
        <v>60</v>
      </c>
      <c r="Y39" s="14" t="s">
        <v>64</v>
      </c>
    </row>
    <row r="40" spans="1:25" x14ac:dyDescent="0.15">
      <c r="A40" s="11">
        <f t="shared" si="1"/>
        <v>36</v>
      </c>
      <c r="B40" s="70" t="s">
        <v>532</v>
      </c>
      <c r="C40" s="70"/>
      <c r="D40" s="70"/>
      <c r="E40" s="11" t="s">
        <v>533</v>
      </c>
      <c r="V40" s="28" t="s">
        <v>56</v>
      </c>
      <c r="W40" s="14">
        <v>10</v>
      </c>
      <c r="X40" s="14" t="s">
        <v>60</v>
      </c>
      <c r="Y40" s="14" t="s">
        <v>58</v>
      </c>
    </row>
    <row r="41" spans="1:25" x14ac:dyDescent="0.15">
      <c r="A41" s="11">
        <f t="shared" si="1"/>
        <v>37</v>
      </c>
      <c r="B41" s="70" t="s">
        <v>534</v>
      </c>
      <c r="C41" s="70"/>
      <c r="D41" s="70"/>
      <c r="E41" s="11" t="s">
        <v>535</v>
      </c>
      <c r="V41" s="28" t="s">
        <v>80</v>
      </c>
      <c r="X41" s="14" t="s">
        <v>60</v>
      </c>
      <c r="Y41" s="14" t="s">
        <v>64</v>
      </c>
    </row>
    <row r="42" spans="1:25" x14ac:dyDescent="0.15">
      <c r="A42" s="11">
        <f t="shared" si="1"/>
        <v>38</v>
      </c>
      <c r="B42" s="70" t="s">
        <v>536</v>
      </c>
      <c r="C42" s="70"/>
      <c r="D42" s="70"/>
      <c r="E42" s="11" t="s">
        <v>537</v>
      </c>
      <c r="V42" s="28" t="s">
        <v>56</v>
      </c>
      <c r="W42" s="14">
        <v>10</v>
      </c>
      <c r="X42" s="14" t="s">
        <v>60</v>
      </c>
      <c r="Y42" s="14" t="s">
        <v>58</v>
      </c>
    </row>
    <row r="43" spans="1:25" x14ac:dyDescent="0.15">
      <c r="A43" s="11">
        <f t="shared" si="1"/>
        <v>39</v>
      </c>
      <c r="B43" s="70" t="s">
        <v>429</v>
      </c>
      <c r="C43" s="70"/>
      <c r="D43" s="70"/>
      <c r="E43" s="11" t="s">
        <v>538</v>
      </c>
      <c r="V43" s="28" t="s">
        <v>80</v>
      </c>
      <c r="X43" s="14" t="s">
        <v>60</v>
      </c>
      <c r="Y43" s="14" t="s">
        <v>64</v>
      </c>
    </row>
    <row r="44" spans="1:25" x14ac:dyDescent="0.15">
      <c r="A44" s="11">
        <f t="shared" si="1"/>
        <v>40</v>
      </c>
      <c r="B44" s="70" t="s">
        <v>539</v>
      </c>
      <c r="C44" s="70"/>
      <c r="D44" s="70"/>
      <c r="E44" s="11" t="s">
        <v>540</v>
      </c>
      <c r="V44" s="28" t="s">
        <v>56</v>
      </c>
      <c r="W44" s="14">
        <v>10</v>
      </c>
      <c r="X44" s="14" t="s">
        <v>60</v>
      </c>
      <c r="Y44" s="14" t="s">
        <v>58</v>
      </c>
    </row>
    <row r="45" spans="1:25" x14ac:dyDescent="0.15">
      <c r="A45" s="11">
        <f t="shared" si="1"/>
        <v>41</v>
      </c>
      <c r="B45" s="70" t="s">
        <v>541</v>
      </c>
      <c r="C45" s="70"/>
      <c r="D45" s="70"/>
      <c r="E45" s="11" t="s">
        <v>542</v>
      </c>
      <c r="V45" s="28" t="s">
        <v>80</v>
      </c>
      <c r="X45" s="14" t="s">
        <v>60</v>
      </c>
      <c r="Y45" s="14" t="s">
        <v>64</v>
      </c>
    </row>
    <row r="46" spans="1:25" x14ac:dyDescent="0.15">
      <c r="A46" s="11">
        <f t="shared" si="1"/>
        <v>42</v>
      </c>
      <c r="B46" s="70" t="s">
        <v>543</v>
      </c>
      <c r="C46" s="70"/>
      <c r="D46" s="70"/>
      <c r="E46" s="11" t="s">
        <v>544</v>
      </c>
      <c r="V46" s="28" t="s">
        <v>56</v>
      </c>
      <c r="W46" s="14">
        <v>10</v>
      </c>
      <c r="X46" s="14" t="s">
        <v>60</v>
      </c>
      <c r="Y46" s="14" t="s">
        <v>58</v>
      </c>
    </row>
    <row r="47" spans="1:25" x14ac:dyDescent="0.15">
      <c r="A47" s="11">
        <f t="shared" si="1"/>
        <v>43</v>
      </c>
      <c r="B47" s="70" t="s">
        <v>431</v>
      </c>
      <c r="C47" s="70"/>
      <c r="D47" s="70"/>
      <c r="E47" s="11" t="s">
        <v>545</v>
      </c>
      <c r="V47" s="28" t="s">
        <v>80</v>
      </c>
      <c r="X47" s="14" t="s">
        <v>60</v>
      </c>
      <c r="Y47" s="14" t="s">
        <v>64</v>
      </c>
    </row>
    <row r="48" spans="1:25" x14ac:dyDescent="0.15">
      <c r="A48" s="11">
        <f t="shared" si="1"/>
        <v>44</v>
      </c>
      <c r="B48" s="70" t="s">
        <v>546</v>
      </c>
      <c r="C48" s="70"/>
      <c r="D48" s="70"/>
      <c r="E48" s="11" t="s">
        <v>547</v>
      </c>
      <c r="V48" s="28" t="s">
        <v>80</v>
      </c>
      <c r="X48" s="14" t="s">
        <v>60</v>
      </c>
      <c r="Y48" s="14" t="s">
        <v>64</v>
      </c>
    </row>
    <row r="49" spans="1:25" x14ac:dyDescent="0.15">
      <c r="A49" s="11">
        <f t="shared" si="1"/>
        <v>45</v>
      </c>
      <c r="B49" s="70" t="s">
        <v>548</v>
      </c>
      <c r="C49" s="70"/>
      <c r="D49" s="70"/>
      <c r="E49" s="11" t="s">
        <v>549</v>
      </c>
      <c r="V49" s="28" t="s">
        <v>56</v>
      </c>
      <c r="W49" s="14">
        <v>10</v>
      </c>
      <c r="X49" s="14" t="s">
        <v>60</v>
      </c>
      <c r="Y49" s="14" t="s">
        <v>58</v>
      </c>
    </row>
    <row r="50" spans="1:25" x14ac:dyDescent="0.15">
      <c r="A50" s="11">
        <f t="shared" si="1"/>
        <v>46</v>
      </c>
      <c r="B50" s="70" t="s">
        <v>550</v>
      </c>
      <c r="C50" s="70"/>
      <c r="D50" s="70"/>
      <c r="E50" s="11" t="s">
        <v>551</v>
      </c>
      <c r="V50" s="28" t="s">
        <v>80</v>
      </c>
      <c r="X50" s="14" t="s">
        <v>60</v>
      </c>
      <c r="Y50" s="14" t="s">
        <v>64</v>
      </c>
    </row>
    <row r="51" spans="1:25" x14ac:dyDescent="0.15">
      <c r="A51" s="11">
        <f t="shared" si="1"/>
        <v>47</v>
      </c>
      <c r="B51" s="70" t="s">
        <v>552</v>
      </c>
      <c r="C51" s="70"/>
      <c r="D51" s="70"/>
      <c r="E51" s="11" t="s">
        <v>553</v>
      </c>
      <c r="V51" s="28" t="s">
        <v>56</v>
      </c>
      <c r="W51" s="14">
        <v>10</v>
      </c>
      <c r="X51" s="14" t="s">
        <v>60</v>
      </c>
      <c r="Y51" s="14" t="s">
        <v>58</v>
      </c>
    </row>
    <row r="52" spans="1:25" x14ac:dyDescent="0.15">
      <c r="A52" s="11">
        <f t="shared" si="1"/>
        <v>48</v>
      </c>
      <c r="B52" s="70" t="s">
        <v>345</v>
      </c>
      <c r="C52" s="70"/>
      <c r="D52" s="70"/>
      <c r="E52" s="11" t="s">
        <v>554</v>
      </c>
      <c r="V52" s="28" t="s">
        <v>56</v>
      </c>
      <c r="W52" s="14">
        <v>10</v>
      </c>
      <c r="X52" s="14" t="s">
        <v>60</v>
      </c>
      <c r="Y52" s="14" t="s">
        <v>58</v>
      </c>
    </row>
    <row r="53" spans="1:25" x14ac:dyDescent="0.15">
      <c r="A53" s="11">
        <f t="shared" si="1"/>
        <v>49</v>
      </c>
      <c r="B53" s="70" t="s">
        <v>555</v>
      </c>
      <c r="C53" s="70"/>
      <c r="D53" s="70"/>
      <c r="E53" s="11" t="s">
        <v>556</v>
      </c>
      <c r="V53" s="28" t="s">
        <v>80</v>
      </c>
      <c r="X53" s="14" t="s">
        <v>60</v>
      </c>
      <c r="Y53" s="14" t="s">
        <v>64</v>
      </c>
    </row>
    <row r="54" spans="1:25" x14ac:dyDescent="0.15">
      <c r="A54" s="11">
        <f t="shared" si="1"/>
        <v>50</v>
      </c>
      <c r="B54" s="70" t="s">
        <v>557</v>
      </c>
      <c r="C54" s="70"/>
      <c r="D54" s="70"/>
      <c r="E54" s="11" t="s">
        <v>558</v>
      </c>
      <c r="V54" s="28" t="s">
        <v>80</v>
      </c>
      <c r="X54" s="14" t="s">
        <v>60</v>
      </c>
      <c r="Y54" s="14" t="s">
        <v>64</v>
      </c>
    </row>
    <row r="55" spans="1:25" x14ac:dyDescent="0.15">
      <c r="A55" s="11">
        <f t="shared" si="1"/>
        <v>51</v>
      </c>
      <c r="B55" s="70" t="s">
        <v>559</v>
      </c>
      <c r="C55" s="70"/>
      <c r="D55" s="70"/>
      <c r="E55" s="11" t="s">
        <v>560</v>
      </c>
      <c r="V55" s="28" t="s">
        <v>56</v>
      </c>
      <c r="W55" s="14">
        <v>10</v>
      </c>
      <c r="X55" s="14" t="s">
        <v>60</v>
      </c>
      <c r="Y55" s="14" t="s">
        <v>58</v>
      </c>
    </row>
    <row r="56" spans="1:25" x14ac:dyDescent="0.15">
      <c r="A56" s="11">
        <f t="shared" si="1"/>
        <v>52</v>
      </c>
      <c r="B56" s="70" t="s">
        <v>561</v>
      </c>
      <c r="C56" s="70"/>
      <c r="D56" s="70"/>
      <c r="E56" s="11" t="s">
        <v>562</v>
      </c>
      <c r="V56" s="28" t="s">
        <v>56</v>
      </c>
      <c r="W56" s="14">
        <v>10</v>
      </c>
      <c r="X56" s="14" t="s">
        <v>60</v>
      </c>
      <c r="Y56" s="14" t="s">
        <v>58</v>
      </c>
    </row>
    <row r="57" spans="1:25" x14ac:dyDescent="0.15">
      <c r="A57" s="11">
        <f t="shared" si="1"/>
        <v>53</v>
      </c>
      <c r="B57" s="70" t="s">
        <v>563</v>
      </c>
      <c r="C57" s="70"/>
      <c r="D57" s="70"/>
      <c r="E57" s="11" t="s">
        <v>564</v>
      </c>
      <c r="V57" s="28" t="s">
        <v>80</v>
      </c>
      <c r="X57" s="14" t="s">
        <v>60</v>
      </c>
      <c r="Y57" s="14" t="s">
        <v>64</v>
      </c>
    </row>
    <row r="58" spans="1:25" x14ac:dyDescent="0.15">
      <c r="A58" s="11">
        <f t="shared" si="1"/>
        <v>54</v>
      </c>
      <c r="B58" s="70" t="s">
        <v>565</v>
      </c>
      <c r="C58" s="70"/>
      <c r="D58" s="70"/>
      <c r="E58" s="11" t="s">
        <v>566</v>
      </c>
      <c r="V58" s="28" t="s">
        <v>80</v>
      </c>
      <c r="X58" s="14" t="s">
        <v>60</v>
      </c>
      <c r="Y58" s="14" t="s">
        <v>64</v>
      </c>
    </row>
    <row r="59" spans="1:25" x14ac:dyDescent="0.15">
      <c r="A59" s="11">
        <f t="shared" si="1"/>
        <v>55</v>
      </c>
      <c r="B59" s="70" t="s">
        <v>567</v>
      </c>
      <c r="C59" s="70"/>
      <c r="D59" s="70"/>
      <c r="E59" s="11" t="s">
        <v>568</v>
      </c>
      <c r="V59" s="28" t="s">
        <v>80</v>
      </c>
      <c r="X59" s="14" t="s">
        <v>60</v>
      </c>
      <c r="Y59" s="14" t="s">
        <v>64</v>
      </c>
    </row>
    <row r="60" spans="1:25" x14ac:dyDescent="0.15">
      <c r="A60" s="11">
        <f t="shared" si="1"/>
        <v>56</v>
      </c>
      <c r="B60" s="70" t="s">
        <v>569</v>
      </c>
      <c r="C60" s="70"/>
      <c r="D60" s="70"/>
      <c r="E60" s="11" t="s">
        <v>570</v>
      </c>
      <c r="V60" s="28" t="s">
        <v>80</v>
      </c>
      <c r="X60" s="14" t="s">
        <v>60</v>
      </c>
      <c r="Y60" s="14" t="s">
        <v>64</v>
      </c>
    </row>
    <row r="61" spans="1:25" x14ac:dyDescent="0.15">
      <c r="A61" s="11">
        <f t="shared" si="1"/>
        <v>57</v>
      </c>
      <c r="B61" s="70" t="s">
        <v>571</v>
      </c>
      <c r="C61" s="70"/>
      <c r="D61" s="70"/>
      <c r="E61" s="11" t="s">
        <v>572</v>
      </c>
      <c r="V61" s="28" t="s">
        <v>56</v>
      </c>
      <c r="W61" s="14">
        <v>10</v>
      </c>
      <c r="X61" s="14" t="s">
        <v>60</v>
      </c>
      <c r="Y61" s="14" t="s">
        <v>58</v>
      </c>
    </row>
    <row r="62" spans="1:25" x14ac:dyDescent="0.15">
      <c r="A62" s="11">
        <f t="shared" si="1"/>
        <v>58</v>
      </c>
      <c r="B62" s="70" t="s">
        <v>573</v>
      </c>
      <c r="C62" s="70"/>
      <c r="D62" s="70"/>
      <c r="E62" s="11" t="s">
        <v>574</v>
      </c>
      <c r="V62" s="28" t="s">
        <v>56</v>
      </c>
      <c r="W62" s="14">
        <v>10</v>
      </c>
      <c r="X62" s="14" t="s">
        <v>60</v>
      </c>
      <c r="Y62" s="14" t="s">
        <v>58</v>
      </c>
    </row>
    <row r="63" spans="1:25" x14ac:dyDescent="0.15">
      <c r="A63" s="11">
        <f t="shared" si="1"/>
        <v>59</v>
      </c>
      <c r="B63" s="70" t="s">
        <v>575</v>
      </c>
      <c r="C63" s="70"/>
      <c r="D63" s="70"/>
      <c r="E63" s="11" t="s">
        <v>576</v>
      </c>
      <c r="V63" s="28" t="s">
        <v>56</v>
      </c>
      <c r="W63" s="14">
        <v>10</v>
      </c>
      <c r="X63" s="14" t="s">
        <v>60</v>
      </c>
      <c r="Y63" s="14" t="s">
        <v>58</v>
      </c>
    </row>
    <row r="64" spans="1:25" x14ac:dyDescent="0.15">
      <c r="A64" s="11">
        <f t="shared" si="1"/>
        <v>60</v>
      </c>
      <c r="B64" s="70" t="s">
        <v>577</v>
      </c>
      <c r="C64" s="70"/>
      <c r="D64" s="70"/>
      <c r="E64" s="11" t="s">
        <v>578</v>
      </c>
      <c r="V64" s="28" t="s">
        <v>56</v>
      </c>
      <c r="W64" s="14">
        <v>10</v>
      </c>
      <c r="X64" s="14" t="s">
        <v>60</v>
      </c>
      <c r="Y64" s="14" t="s">
        <v>58</v>
      </c>
    </row>
    <row r="65" spans="1:25" x14ac:dyDescent="0.15">
      <c r="A65" s="11">
        <f t="shared" si="1"/>
        <v>61</v>
      </c>
      <c r="B65" s="70" t="s">
        <v>579</v>
      </c>
      <c r="C65" s="70"/>
      <c r="D65" s="70"/>
      <c r="E65" s="11" t="s">
        <v>580</v>
      </c>
      <c r="V65" s="28" t="s">
        <v>56</v>
      </c>
      <c r="W65" s="14">
        <v>10</v>
      </c>
      <c r="X65" s="14" t="s">
        <v>60</v>
      </c>
      <c r="Y65" s="14" t="s">
        <v>58</v>
      </c>
    </row>
    <row r="66" spans="1:25" x14ac:dyDescent="0.15">
      <c r="A66" s="11">
        <f t="shared" si="1"/>
        <v>62</v>
      </c>
      <c r="B66" s="70" t="s">
        <v>581</v>
      </c>
      <c r="C66" s="70"/>
      <c r="D66" s="70"/>
      <c r="E66" s="11" t="s">
        <v>582</v>
      </c>
      <c r="V66" s="28" t="s">
        <v>56</v>
      </c>
      <c r="W66" s="14">
        <v>10</v>
      </c>
      <c r="X66" s="14" t="s">
        <v>60</v>
      </c>
      <c r="Y66" s="14" t="s">
        <v>58</v>
      </c>
    </row>
    <row r="67" spans="1:25" x14ac:dyDescent="0.15">
      <c r="A67" s="11">
        <f t="shared" si="1"/>
        <v>63</v>
      </c>
      <c r="B67" s="70" t="s">
        <v>583</v>
      </c>
      <c r="C67" s="70"/>
      <c r="D67" s="70"/>
      <c r="E67" s="11" t="s">
        <v>584</v>
      </c>
      <c r="V67" s="28" t="s">
        <v>56</v>
      </c>
      <c r="W67" s="14">
        <v>10</v>
      </c>
      <c r="X67" s="14" t="s">
        <v>60</v>
      </c>
      <c r="Y67" s="14" t="s">
        <v>58</v>
      </c>
    </row>
    <row r="68" spans="1:25" x14ac:dyDescent="0.15">
      <c r="A68" s="11">
        <f t="shared" ref="A68:A99" si="2">ROW()-4</f>
        <v>64</v>
      </c>
      <c r="B68" s="70" t="s">
        <v>585</v>
      </c>
      <c r="C68" s="70"/>
      <c r="D68" s="70"/>
      <c r="E68" s="11" t="s">
        <v>586</v>
      </c>
      <c r="V68" s="28" t="s">
        <v>56</v>
      </c>
      <c r="W68" s="14">
        <v>10</v>
      </c>
      <c r="X68" s="14" t="s">
        <v>60</v>
      </c>
      <c r="Y68" s="14" t="s">
        <v>58</v>
      </c>
    </row>
    <row r="69" spans="1:25" x14ac:dyDescent="0.15">
      <c r="A69" s="11">
        <f t="shared" si="2"/>
        <v>65</v>
      </c>
      <c r="B69" s="70" t="s">
        <v>587</v>
      </c>
      <c r="C69" s="70"/>
      <c r="D69" s="70"/>
      <c r="E69" s="11" t="s">
        <v>588</v>
      </c>
      <c r="V69" s="28" t="s">
        <v>56</v>
      </c>
      <c r="W69" s="14">
        <v>10</v>
      </c>
      <c r="X69" s="14" t="s">
        <v>60</v>
      </c>
      <c r="Y69" s="14" t="s">
        <v>58</v>
      </c>
    </row>
    <row r="70" spans="1:25" x14ac:dyDescent="0.15">
      <c r="A70" s="11">
        <f t="shared" si="2"/>
        <v>66</v>
      </c>
      <c r="B70" s="70" t="s">
        <v>589</v>
      </c>
      <c r="C70" s="70"/>
      <c r="D70" s="70"/>
      <c r="E70" s="11" t="s">
        <v>590</v>
      </c>
      <c r="V70" s="28" t="s">
        <v>56</v>
      </c>
      <c r="W70" s="14">
        <v>10</v>
      </c>
      <c r="X70" s="14" t="s">
        <v>60</v>
      </c>
      <c r="Y70" s="14" t="s">
        <v>58</v>
      </c>
    </row>
    <row r="71" spans="1:25" x14ac:dyDescent="0.15">
      <c r="A71" s="11">
        <f t="shared" si="2"/>
        <v>67</v>
      </c>
      <c r="B71" s="70" t="s">
        <v>591</v>
      </c>
      <c r="C71" s="70"/>
      <c r="D71" s="70"/>
      <c r="E71" s="11" t="s">
        <v>592</v>
      </c>
      <c r="V71" s="28" t="s">
        <v>56</v>
      </c>
      <c r="W71" s="14">
        <v>10</v>
      </c>
      <c r="X71" s="14" t="s">
        <v>60</v>
      </c>
      <c r="Y71" s="14" t="s">
        <v>58</v>
      </c>
    </row>
    <row r="72" spans="1:25" x14ac:dyDescent="0.15">
      <c r="A72" s="11">
        <f t="shared" si="2"/>
        <v>68</v>
      </c>
      <c r="B72" s="70" t="s">
        <v>593</v>
      </c>
      <c r="C72" s="70"/>
      <c r="D72" s="70"/>
      <c r="E72" s="11" t="s">
        <v>594</v>
      </c>
      <c r="V72" s="28" t="s">
        <v>80</v>
      </c>
      <c r="X72" s="14" t="s">
        <v>60</v>
      </c>
      <c r="Y72" s="14" t="s">
        <v>64</v>
      </c>
    </row>
    <row r="73" spans="1:25" x14ac:dyDescent="0.15">
      <c r="A73" s="11">
        <f t="shared" si="2"/>
        <v>69</v>
      </c>
      <c r="B73" s="70" t="s">
        <v>595</v>
      </c>
      <c r="C73" s="70"/>
      <c r="D73" s="70"/>
      <c r="E73" s="11" t="s">
        <v>596</v>
      </c>
      <c r="V73" s="28" t="s">
        <v>56</v>
      </c>
      <c r="W73" s="14">
        <v>10</v>
      </c>
      <c r="X73" s="14" t="s">
        <v>60</v>
      </c>
      <c r="Y73" s="14" t="s">
        <v>58</v>
      </c>
    </row>
    <row r="74" spans="1:25" x14ac:dyDescent="0.15">
      <c r="A74" s="11">
        <f t="shared" si="2"/>
        <v>70</v>
      </c>
      <c r="B74" s="70" t="s">
        <v>597</v>
      </c>
      <c r="C74" s="70"/>
      <c r="D74" s="70"/>
      <c r="E74" s="11" t="s">
        <v>598</v>
      </c>
      <c r="V74" s="28" t="s">
        <v>80</v>
      </c>
      <c r="X74" s="14" t="s">
        <v>60</v>
      </c>
      <c r="Y74" s="14" t="s">
        <v>64</v>
      </c>
    </row>
    <row r="75" spans="1:25" x14ac:dyDescent="0.15">
      <c r="A75" s="11">
        <f t="shared" si="2"/>
        <v>71</v>
      </c>
      <c r="B75" s="70" t="s">
        <v>599</v>
      </c>
      <c r="C75" s="70"/>
      <c r="D75" s="70"/>
      <c r="E75" s="11" t="s">
        <v>600</v>
      </c>
      <c r="V75" s="28" t="s">
        <v>56</v>
      </c>
      <c r="W75" s="14">
        <v>10</v>
      </c>
      <c r="X75" s="14" t="s">
        <v>60</v>
      </c>
      <c r="Y75" s="14" t="s">
        <v>58</v>
      </c>
    </row>
    <row r="76" spans="1:25" x14ac:dyDescent="0.15">
      <c r="A76" s="11">
        <f t="shared" si="2"/>
        <v>72</v>
      </c>
      <c r="B76" s="70" t="s">
        <v>601</v>
      </c>
      <c r="C76" s="70"/>
      <c r="D76" s="70"/>
      <c r="E76" s="11" t="s">
        <v>602</v>
      </c>
      <c r="V76" s="28" t="s">
        <v>80</v>
      </c>
      <c r="X76" s="14" t="s">
        <v>60</v>
      </c>
      <c r="Y76" s="14" t="s">
        <v>64</v>
      </c>
    </row>
    <row r="77" spans="1:25" x14ac:dyDescent="0.15">
      <c r="A77" s="11">
        <f t="shared" si="2"/>
        <v>73</v>
      </c>
      <c r="B77" s="70" t="s">
        <v>603</v>
      </c>
      <c r="C77" s="70"/>
      <c r="D77" s="70"/>
      <c r="E77" s="11" t="s">
        <v>604</v>
      </c>
      <c r="V77" s="28" t="s">
        <v>56</v>
      </c>
      <c r="W77" s="14">
        <v>10</v>
      </c>
      <c r="X77" s="14" t="s">
        <v>60</v>
      </c>
      <c r="Y77" s="14" t="s">
        <v>58</v>
      </c>
    </row>
    <row r="78" spans="1:25" x14ac:dyDescent="0.15">
      <c r="A78" s="11">
        <f t="shared" si="2"/>
        <v>74</v>
      </c>
      <c r="B78" s="70" t="s">
        <v>605</v>
      </c>
      <c r="C78" s="70"/>
      <c r="D78" s="70"/>
      <c r="E78" s="11" t="s">
        <v>606</v>
      </c>
      <c r="V78" s="28" t="s">
        <v>80</v>
      </c>
      <c r="X78" s="14" t="s">
        <v>60</v>
      </c>
      <c r="Y78" s="14" t="s">
        <v>64</v>
      </c>
    </row>
    <row r="79" spans="1:25" x14ac:dyDescent="0.15">
      <c r="A79" s="11">
        <f t="shared" si="2"/>
        <v>75</v>
      </c>
      <c r="B79" s="70" t="s">
        <v>607</v>
      </c>
      <c r="C79" s="70"/>
      <c r="D79" s="70"/>
      <c r="E79" s="11" t="s">
        <v>608</v>
      </c>
      <c r="V79" s="28" t="s">
        <v>56</v>
      </c>
      <c r="W79" s="14">
        <v>10</v>
      </c>
      <c r="X79" s="14" t="s">
        <v>60</v>
      </c>
      <c r="Y79" s="14" t="s">
        <v>58</v>
      </c>
    </row>
    <row r="80" spans="1:25" x14ac:dyDescent="0.15">
      <c r="A80" s="11">
        <f t="shared" si="2"/>
        <v>76</v>
      </c>
      <c r="B80" s="70" t="s">
        <v>609</v>
      </c>
      <c r="C80" s="70"/>
      <c r="D80" s="70"/>
      <c r="E80" s="11" t="s">
        <v>610</v>
      </c>
      <c r="V80" s="28" t="s">
        <v>80</v>
      </c>
      <c r="X80" s="14" t="s">
        <v>60</v>
      </c>
      <c r="Y80" s="14" t="s">
        <v>64</v>
      </c>
    </row>
    <row r="81" spans="1:25" x14ac:dyDescent="0.15">
      <c r="A81" s="11">
        <f t="shared" si="2"/>
        <v>77</v>
      </c>
      <c r="B81" s="70" t="s">
        <v>611</v>
      </c>
      <c r="C81" s="70"/>
      <c r="D81" s="70"/>
      <c r="E81" s="11" t="s">
        <v>612</v>
      </c>
      <c r="V81" s="28" t="s">
        <v>56</v>
      </c>
      <c r="W81" s="14">
        <v>10</v>
      </c>
      <c r="X81" s="14" t="s">
        <v>60</v>
      </c>
      <c r="Y81" s="14" t="s">
        <v>58</v>
      </c>
    </row>
    <row r="82" spans="1:25" x14ac:dyDescent="0.15">
      <c r="A82" s="11">
        <f t="shared" si="2"/>
        <v>78</v>
      </c>
      <c r="B82" s="70" t="s">
        <v>613</v>
      </c>
      <c r="C82" s="70"/>
      <c r="D82" s="70"/>
      <c r="E82" s="11" t="s">
        <v>614</v>
      </c>
      <c r="V82" s="28" t="s">
        <v>56</v>
      </c>
      <c r="W82" s="14">
        <v>10</v>
      </c>
      <c r="X82" s="14" t="s">
        <v>60</v>
      </c>
      <c r="Y82" s="14" t="s">
        <v>58</v>
      </c>
    </row>
    <row r="83" spans="1:25" x14ac:dyDescent="0.15">
      <c r="A83" s="11">
        <f t="shared" si="2"/>
        <v>79</v>
      </c>
      <c r="B83" s="70" t="s">
        <v>615</v>
      </c>
      <c r="C83" s="70"/>
      <c r="D83" s="70"/>
      <c r="E83" s="11" t="s">
        <v>616</v>
      </c>
      <c r="V83" s="28" t="s">
        <v>56</v>
      </c>
      <c r="W83" s="14">
        <v>10</v>
      </c>
      <c r="X83" s="14" t="s">
        <v>60</v>
      </c>
      <c r="Y83" s="14" t="s">
        <v>58</v>
      </c>
    </row>
    <row r="84" spans="1:25" x14ac:dyDescent="0.15">
      <c r="A84" s="11">
        <f t="shared" si="2"/>
        <v>80</v>
      </c>
      <c r="B84" s="70" t="s">
        <v>617</v>
      </c>
      <c r="C84" s="70"/>
      <c r="D84" s="70"/>
      <c r="E84" s="11" t="s">
        <v>618</v>
      </c>
      <c r="V84" s="28" t="s">
        <v>56</v>
      </c>
      <c r="W84" s="14">
        <v>10</v>
      </c>
      <c r="X84" s="14" t="s">
        <v>60</v>
      </c>
      <c r="Y84" s="14" t="s">
        <v>58</v>
      </c>
    </row>
    <row r="85" spans="1:25" x14ac:dyDescent="0.15">
      <c r="A85" s="11">
        <f t="shared" si="2"/>
        <v>81</v>
      </c>
      <c r="B85" s="70" t="s">
        <v>619</v>
      </c>
      <c r="C85" s="70"/>
      <c r="D85" s="70"/>
      <c r="E85" s="11" t="s">
        <v>620</v>
      </c>
      <c r="V85" s="28" t="s">
        <v>80</v>
      </c>
      <c r="X85" s="14" t="s">
        <v>60</v>
      </c>
      <c r="Y85" s="14" t="s">
        <v>64</v>
      </c>
    </row>
    <row r="86" spans="1:25" x14ac:dyDescent="0.15">
      <c r="A86" s="11">
        <f t="shared" si="2"/>
        <v>82</v>
      </c>
      <c r="B86" s="70" t="s">
        <v>621</v>
      </c>
      <c r="C86" s="70"/>
      <c r="D86" s="70"/>
      <c r="E86" s="11" t="s">
        <v>622</v>
      </c>
      <c r="V86" s="28" t="s">
        <v>80</v>
      </c>
      <c r="X86" s="14" t="s">
        <v>60</v>
      </c>
      <c r="Y86" s="14" t="s">
        <v>64</v>
      </c>
    </row>
    <row r="87" spans="1:25" x14ac:dyDescent="0.15">
      <c r="A87" s="11">
        <f t="shared" si="2"/>
        <v>83</v>
      </c>
      <c r="B87" s="70" t="s">
        <v>623</v>
      </c>
      <c r="C87" s="70"/>
      <c r="D87" s="70"/>
      <c r="E87" s="11" t="s">
        <v>624</v>
      </c>
      <c r="V87" s="28" t="s">
        <v>80</v>
      </c>
      <c r="X87" s="14" t="s">
        <v>60</v>
      </c>
      <c r="Y87" s="14" t="s">
        <v>64</v>
      </c>
    </row>
    <row r="88" spans="1:25" x14ac:dyDescent="0.15">
      <c r="A88" s="11">
        <f t="shared" si="2"/>
        <v>84</v>
      </c>
      <c r="B88" s="70" t="s">
        <v>625</v>
      </c>
      <c r="C88" s="70"/>
      <c r="D88" s="70"/>
      <c r="E88" s="11" t="s">
        <v>626</v>
      </c>
      <c r="V88" s="28" t="s">
        <v>80</v>
      </c>
      <c r="X88" s="14" t="s">
        <v>60</v>
      </c>
      <c r="Y88" s="14" t="s">
        <v>64</v>
      </c>
    </row>
    <row r="89" spans="1:25" x14ac:dyDescent="0.15">
      <c r="A89" s="11">
        <f t="shared" si="2"/>
        <v>85</v>
      </c>
      <c r="B89" s="70" t="s">
        <v>627</v>
      </c>
      <c r="C89" s="70"/>
      <c r="D89" s="70"/>
      <c r="E89" s="11" t="s">
        <v>628</v>
      </c>
      <c r="V89" s="28" t="s">
        <v>80</v>
      </c>
      <c r="X89" s="14" t="s">
        <v>60</v>
      </c>
      <c r="Y89" s="14" t="s">
        <v>64</v>
      </c>
    </row>
    <row r="90" spans="1:25" x14ac:dyDescent="0.15">
      <c r="A90" s="11">
        <f t="shared" si="2"/>
        <v>86</v>
      </c>
      <c r="B90" s="70" t="s">
        <v>412</v>
      </c>
      <c r="C90" s="70"/>
      <c r="D90" s="70"/>
      <c r="E90" s="11" t="s">
        <v>629</v>
      </c>
      <c r="V90" s="28" t="s">
        <v>80</v>
      </c>
      <c r="X90" s="14" t="s">
        <v>60</v>
      </c>
      <c r="Y90" s="14" t="s">
        <v>64</v>
      </c>
    </row>
    <row r="91" spans="1:25" x14ac:dyDescent="0.15">
      <c r="A91" s="11">
        <f t="shared" si="2"/>
        <v>87</v>
      </c>
      <c r="B91" s="70" t="s">
        <v>413</v>
      </c>
      <c r="C91" s="70"/>
      <c r="D91" s="70"/>
      <c r="E91" s="11" t="s">
        <v>630</v>
      </c>
      <c r="V91" s="28" t="s">
        <v>80</v>
      </c>
      <c r="X91" s="14" t="s">
        <v>60</v>
      </c>
      <c r="Y91" s="14" t="s">
        <v>64</v>
      </c>
    </row>
    <row r="92" spans="1:25" x14ac:dyDescent="0.15">
      <c r="A92" s="11">
        <f t="shared" si="2"/>
        <v>88</v>
      </c>
      <c r="B92" s="70" t="s">
        <v>414</v>
      </c>
      <c r="C92" s="70"/>
      <c r="D92" s="70"/>
      <c r="E92" s="11" t="s">
        <v>631</v>
      </c>
      <c r="V92" s="28" t="s">
        <v>80</v>
      </c>
      <c r="X92" s="14" t="s">
        <v>60</v>
      </c>
      <c r="Y92" s="14" t="s">
        <v>64</v>
      </c>
    </row>
    <row r="93" spans="1:25" x14ac:dyDescent="0.15">
      <c r="A93" s="11">
        <f t="shared" si="2"/>
        <v>89</v>
      </c>
      <c r="B93" s="70" t="s">
        <v>415</v>
      </c>
      <c r="C93" s="70"/>
      <c r="D93" s="70"/>
      <c r="E93" s="11" t="s">
        <v>632</v>
      </c>
      <c r="V93" s="28" t="s">
        <v>80</v>
      </c>
      <c r="X93" s="14" t="s">
        <v>60</v>
      </c>
      <c r="Y93" s="14" t="s">
        <v>64</v>
      </c>
    </row>
    <row r="94" spans="1:25" x14ac:dyDescent="0.15">
      <c r="A94" s="11">
        <f t="shared" si="2"/>
        <v>90</v>
      </c>
      <c r="B94" s="70" t="s">
        <v>416</v>
      </c>
      <c r="C94" s="70"/>
      <c r="D94" s="70"/>
      <c r="E94" s="11" t="s">
        <v>633</v>
      </c>
      <c r="V94" s="28" t="s">
        <v>80</v>
      </c>
      <c r="X94" s="14" t="s">
        <v>60</v>
      </c>
      <c r="Y94" s="14" t="s">
        <v>64</v>
      </c>
    </row>
    <row r="95" spans="1:25" x14ac:dyDescent="0.15">
      <c r="A95" s="11">
        <f t="shared" si="2"/>
        <v>91</v>
      </c>
      <c r="B95" s="70" t="s">
        <v>417</v>
      </c>
      <c r="C95" s="70"/>
      <c r="D95" s="70"/>
      <c r="E95" s="11" t="s">
        <v>634</v>
      </c>
      <c r="V95" s="28" t="s">
        <v>80</v>
      </c>
      <c r="X95" s="14" t="s">
        <v>60</v>
      </c>
      <c r="Y95" s="14" t="s">
        <v>64</v>
      </c>
    </row>
    <row r="96" spans="1:25" x14ac:dyDescent="0.15">
      <c r="A96" s="11">
        <f t="shared" si="2"/>
        <v>92</v>
      </c>
      <c r="B96" s="70" t="s">
        <v>418</v>
      </c>
      <c r="C96" s="70"/>
      <c r="D96" s="70"/>
      <c r="E96" s="11" t="s">
        <v>635</v>
      </c>
      <c r="V96" s="28" t="s">
        <v>80</v>
      </c>
      <c r="X96" s="14" t="s">
        <v>60</v>
      </c>
      <c r="Y96" s="14" t="s">
        <v>64</v>
      </c>
    </row>
    <row r="97" spans="1:25" x14ac:dyDescent="0.15">
      <c r="A97" s="11">
        <f t="shared" si="2"/>
        <v>93</v>
      </c>
      <c r="B97" s="70" t="s">
        <v>419</v>
      </c>
      <c r="C97" s="70"/>
      <c r="D97" s="70"/>
      <c r="E97" s="11" t="s">
        <v>636</v>
      </c>
      <c r="V97" s="28" t="s">
        <v>80</v>
      </c>
      <c r="X97" s="14" t="s">
        <v>60</v>
      </c>
      <c r="Y97" s="14" t="s">
        <v>64</v>
      </c>
    </row>
    <row r="98" spans="1:25" x14ac:dyDescent="0.15">
      <c r="A98" s="11">
        <f t="shared" si="2"/>
        <v>94</v>
      </c>
      <c r="B98" s="70" t="s">
        <v>420</v>
      </c>
      <c r="C98" s="70"/>
      <c r="D98" s="70"/>
      <c r="E98" s="11" t="s">
        <v>637</v>
      </c>
      <c r="V98" s="28" t="s">
        <v>80</v>
      </c>
      <c r="X98" s="14" t="s">
        <v>60</v>
      </c>
      <c r="Y98" s="14" t="s">
        <v>64</v>
      </c>
    </row>
    <row r="99" spans="1:25" x14ac:dyDescent="0.15">
      <c r="A99" s="11">
        <f t="shared" si="2"/>
        <v>95</v>
      </c>
      <c r="B99" s="70" t="s">
        <v>421</v>
      </c>
      <c r="C99" s="70"/>
      <c r="D99" s="70"/>
      <c r="E99" s="11" t="s">
        <v>638</v>
      </c>
      <c r="V99" s="28" t="s">
        <v>80</v>
      </c>
      <c r="X99" s="14" t="s">
        <v>60</v>
      </c>
      <c r="Y99" s="14" t="s">
        <v>64</v>
      </c>
    </row>
    <row r="100" spans="1:25" x14ac:dyDescent="0.15">
      <c r="A100" s="11">
        <f t="shared" ref="A100:A110" si="3">ROW()-4</f>
        <v>96</v>
      </c>
      <c r="B100" s="70" t="s">
        <v>428</v>
      </c>
      <c r="C100" s="70"/>
      <c r="D100" s="70"/>
      <c r="E100" s="11" t="s">
        <v>428</v>
      </c>
      <c r="V100" s="28" t="s">
        <v>80</v>
      </c>
      <c r="X100" s="14" t="s">
        <v>60</v>
      </c>
      <c r="Y100" s="14" t="s">
        <v>64</v>
      </c>
    </row>
    <row r="101" spans="1:25" x14ac:dyDescent="0.15">
      <c r="A101" s="11">
        <f t="shared" si="3"/>
        <v>97</v>
      </c>
      <c r="B101" s="70" t="s">
        <v>430</v>
      </c>
      <c r="C101" s="70"/>
      <c r="D101" s="70"/>
      <c r="E101" s="11" t="s">
        <v>430</v>
      </c>
      <c r="V101" s="28" t="s">
        <v>80</v>
      </c>
      <c r="X101" s="14" t="s">
        <v>60</v>
      </c>
      <c r="Y101" s="14" t="s">
        <v>64</v>
      </c>
    </row>
    <row r="102" spans="1:25" x14ac:dyDescent="0.15">
      <c r="A102" s="11">
        <f t="shared" si="3"/>
        <v>98</v>
      </c>
      <c r="B102" s="70" t="s">
        <v>349</v>
      </c>
      <c r="C102" s="70"/>
      <c r="D102" s="70"/>
      <c r="E102" s="11" t="s">
        <v>349</v>
      </c>
      <c r="V102" s="28" t="s">
        <v>56</v>
      </c>
      <c r="W102" s="14">
        <v>1</v>
      </c>
      <c r="X102" s="14" t="s">
        <v>60</v>
      </c>
      <c r="Y102" s="14" t="s">
        <v>58</v>
      </c>
    </row>
    <row r="103" spans="1:25" x14ac:dyDescent="0.15">
      <c r="A103" s="11">
        <f t="shared" si="3"/>
        <v>99</v>
      </c>
      <c r="B103" s="70" t="s">
        <v>350</v>
      </c>
      <c r="C103" s="70"/>
      <c r="D103" s="70"/>
      <c r="E103" s="11" t="s">
        <v>350</v>
      </c>
      <c r="V103" s="28" t="s">
        <v>80</v>
      </c>
      <c r="X103" s="14" t="s">
        <v>60</v>
      </c>
      <c r="Y103" s="14" t="s">
        <v>64</v>
      </c>
    </row>
    <row r="104" spans="1:25" x14ac:dyDescent="0.15">
      <c r="A104" s="11">
        <f t="shared" si="3"/>
        <v>100</v>
      </c>
      <c r="B104" s="70" t="s">
        <v>639</v>
      </c>
      <c r="C104" s="70"/>
      <c r="D104" s="70"/>
      <c r="E104" s="11" t="s">
        <v>639</v>
      </c>
      <c r="V104" s="28" t="s">
        <v>80</v>
      </c>
      <c r="X104" s="14" t="s">
        <v>60</v>
      </c>
      <c r="Y104" s="14" t="s">
        <v>64</v>
      </c>
    </row>
    <row r="105" spans="1:25" x14ac:dyDescent="0.15">
      <c r="A105" s="11">
        <f t="shared" si="3"/>
        <v>101</v>
      </c>
      <c r="B105" s="70" t="s">
        <v>359</v>
      </c>
      <c r="C105" s="70"/>
      <c r="D105" s="70"/>
      <c r="E105" s="11" t="s">
        <v>359</v>
      </c>
      <c r="V105" s="28" t="s">
        <v>80</v>
      </c>
      <c r="X105" s="14" t="s">
        <v>60</v>
      </c>
      <c r="Y105" s="14" t="s">
        <v>64</v>
      </c>
    </row>
    <row r="106" spans="1:25" x14ac:dyDescent="0.15">
      <c r="A106" s="11">
        <f t="shared" si="3"/>
        <v>102</v>
      </c>
      <c r="B106" s="70" t="s">
        <v>362</v>
      </c>
      <c r="C106" s="70"/>
      <c r="D106" s="70"/>
      <c r="E106" s="11" t="s">
        <v>362</v>
      </c>
      <c r="V106" s="28" t="s">
        <v>80</v>
      </c>
      <c r="X106" s="14" t="s">
        <v>60</v>
      </c>
      <c r="Y106" s="14" t="s">
        <v>64</v>
      </c>
    </row>
    <row r="107" spans="1:25" x14ac:dyDescent="0.15">
      <c r="A107" s="11">
        <f t="shared" si="3"/>
        <v>103</v>
      </c>
      <c r="B107" s="70" t="s">
        <v>640</v>
      </c>
      <c r="C107" s="70"/>
      <c r="D107" s="70"/>
      <c r="E107" s="11" t="s">
        <v>640</v>
      </c>
      <c r="V107" s="28" t="s">
        <v>80</v>
      </c>
      <c r="X107" s="14" t="s">
        <v>60</v>
      </c>
      <c r="Y107" s="14" t="s">
        <v>64</v>
      </c>
    </row>
    <row r="108" spans="1:25" x14ac:dyDescent="0.15">
      <c r="A108" s="11">
        <f t="shared" si="3"/>
        <v>104</v>
      </c>
      <c r="B108" s="70" t="s">
        <v>641</v>
      </c>
      <c r="C108" s="70"/>
      <c r="D108" s="70"/>
      <c r="E108" s="11" t="s">
        <v>641</v>
      </c>
      <c r="V108" s="28" t="s">
        <v>80</v>
      </c>
      <c r="X108" s="14" t="s">
        <v>60</v>
      </c>
      <c r="Y108" s="14" t="s">
        <v>64</v>
      </c>
    </row>
    <row r="109" spans="1:25" x14ac:dyDescent="0.15">
      <c r="A109" s="11">
        <f t="shared" si="3"/>
        <v>105</v>
      </c>
      <c r="B109" s="70" t="s">
        <v>642</v>
      </c>
      <c r="C109" s="70"/>
      <c r="D109" s="70"/>
      <c r="E109" s="11" t="s">
        <v>642</v>
      </c>
      <c r="V109" s="28" t="s">
        <v>80</v>
      </c>
      <c r="X109" s="14" t="s">
        <v>60</v>
      </c>
      <c r="Y109" s="14" t="s">
        <v>64</v>
      </c>
    </row>
    <row r="110" spans="1:25" x14ac:dyDescent="0.15">
      <c r="A110" s="11">
        <f t="shared" si="3"/>
        <v>106</v>
      </c>
      <c r="B110" s="70" t="s">
        <v>98</v>
      </c>
      <c r="C110" s="70"/>
      <c r="D110" s="70"/>
      <c r="E110" s="11" t="s">
        <v>98</v>
      </c>
      <c r="V110" s="28" t="s">
        <v>63</v>
      </c>
      <c r="X110" s="14" t="s">
        <v>64</v>
      </c>
      <c r="Y110" s="14" t="s">
        <v>64</v>
      </c>
    </row>
  </sheetData>
  <mergeCells count="116">
    <mergeCell ref="B107:D107"/>
    <mergeCell ref="B108:D108"/>
    <mergeCell ref="B109:D109"/>
    <mergeCell ref="B110:D110"/>
    <mergeCell ref="B101:D101"/>
    <mergeCell ref="B102:D102"/>
    <mergeCell ref="B103:D103"/>
    <mergeCell ref="B104:D104"/>
    <mergeCell ref="B105:D105"/>
    <mergeCell ref="B106:D106"/>
    <mergeCell ref="B95:D95"/>
    <mergeCell ref="B96:D96"/>
    <mergeCell ref="B97:D97"/>
    <mergeCell ref="B98:D98"/>
    <mergeCell ref="B99:D99"/>
    <mergeCell ref="B100:D100"/>
    <mergeCell ref="B89:D89"/>
    <mergeCell ref="B90:D90"/>
    <mergeCell ref="B91:D91"/>
    <mergeCell ref="B92:D92"/>
    <mergeCell ref="B93:D93"/>
    <mergeCell ref="B94:D94"/>
    <mergeCell ref="B83:D83"/>
    <mergeCell ref="B84:D84"/>
    <mergeCell ref="B85:D85"/>
    <mergeCell ref="B86:D86"/>
    <mergeCell ref="B87:D87"/>
    <mergeCell ref="B88:D88"/>
    <mergeCell ref="B77:D77"/>
    <mergeCell ref="B78:D78"/>
    <mergeCell ref="B79:D79"/>
    <mergeCell ref="B80:D80"/>
    <mergeCell ref="B81:D81"/>
    <mergeCell ref="B82:D82"/>
    <mergeCell ref="B71:D71"/>
    <mergeCell ref="B72:D72"/>
    <mergeCell ref="B73:D73"/>
    <mergeCell ref="B74:D74"/>
    <mergeCell ref="B75:D75"/>
    <mergeCell ref="B76:D76"/>
    <mergeCell ref="B65:D65"/>
    <mergeCell ref="B66:D66"/>
    <mergeCell ref="B67:D67"/>
    <mergeCell ref="B68:D68"/>
    <mergeCell ref="B69:D69"/>
    <mergeCell ref="B70:D70"/>
    <mergeCell ref="B59:D59"/>
    <mergeCell ref="B60:D60"/>
    <mergeCell ref="B61:D61"/>
    <mergeCell ref="B62:D62"/>
    <mergeCell ref="B63:D63"/>
    <mergeCell ref="B64:D64"/>
    <mergeCell ref="B53:D53"/>
    <mergeCell ref="B54:D54"/>
    <mergeCell ref="B55:D55"/>
    <mergeCell ref="B56:D56"/>
    <mergeCell ref="B57:D57"/>
    <mergeCell ref="B58:D58"/>
    <mergeCell ref="B47:D47"/>
    <mergeCell ref="B48:D48"/>
    <mergeCell ref="B49:D49"/>
    <mergeCell ref="B50:D50"/>
    <mergeCell ref="B51:D51"/>
    <mergeCell ref="B52:D52"/>
    <mergeCell ref="B41:D41"/>
    <mergeCell ref="B42:D42"/>
    <mergeCell ref="B43:D43"/>
    <mergeCell ref="B44:D44"/>
    <mergeCell ref="B45:D45"/>
    <mergeCell ref="B46:D46"/>
    <mergeCell ref="B35:D35"/>
    <mergeCell ref="B36:D36"/>
    <mergeCell ref="B37:D37"/>
    <mergeCell ref="B38:D38"/>
    <mergeCell ref="B39:D39"/>
    <mergeCell ref="B40:D40"/>
    <mergeCell ref="B29:D29"/>
    <mergeCell ref="B30:D30"/>
    <mergeCell ref="B31:D31"/>
    <mergeCell ref="B32:D32"/>
    <mergeCell ref="B33:D33"/>
    <mergeCell ref="B34:D34"/>
    <mergeCell ref="B23:D23"/>
    <mergeCell ref="B24:D24"/>
    <mergeCell ref="B25:D25"/>
    <mergeCell ref="B26:D26"/>
    <mergeCell ref="B27:D27"/>
    <mergeCell ref="B28:D28"/>
    <mergeCell ref="B17:D17"/>
    <mergeCell ref="B18:D18"/>
    <mergeCell ref="B19:D19"/>
    <mergeCell ref="B20:D20"/>
    <mergeCell ref="B21:D21"/>
    <mergeCell ref="B22:D22"/>
    <mergeCell ref="B11:D11"/>
    <mergeCell ref="B12:D12"/>
    <mergeCell ref="B13:D13"/>
    <mergeCell ref="B14:D14"/>
    <mergeCell ref="B15:D15"/>
    <mergeCell ref="B16:D16"/>
    <mergeCell ref="B5:D5"/>
    <mergeCell ref="B6:D6"/>
    <mergeCell ref="B7:D7"/>
    <mergeCell ref="B8:D8"/>
    <mergeCell ref="B9:D9"/>
    <mergeCell ref="B10:D10"/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1:U1 B9 B1:B4 C3:D4 B10:B65536 C111:D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1:AC56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7" t="s">
        <v>3</v>
      </c>
      <c r="B1" s="68"/>
      <c r="C1" s="55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7"/>
      <c r="V1" s="61" t="s">
        <v>4</v>
      </c>
      <c r="W1" s="50"/>
      <c r="X1" s="50"/>
      <c r="Y1" s="50"/>
      <c r="Z1" s="50"/>
      <c r="AA1" s="50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6" t="s">
        <v>49</v>
      </c>
      <c r="B2" s="47"/>
      <c r="C2" s="58" t="s">
        <v>643</v>
      </c>
      <c r="D2" s="59"/>
      <c r="E2" s="60"/>
      <c r="F2" s="63" t="s">
        <v>5</v>
      </c>
      <c r="G2" s="65" t="s">
        <v>47</v>
      </c>
      <c r="H2" s="65"/>
      <c r="I2" s="65"/>
      <c r="J2" s="65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2"/>
      <c r="W2" s="51"/>
      <c r="X2" s="51"/>
      <c r="Y2" s="51"/>
      <c r="Z2" s="51"/>
      <c r="AA2" s="51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2" t="s">
        <v>0</v>
      </c>
      <c r="C3" s="53"/>
      <c r="D3" s="54"/>
      <c r="E3" s="25" t="s">
        <v>53</v>
      </c>
      <c r="F3" s="64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8" t="s">
        <v>2</v>
      </c>
      <c r="AA3" s="49"/>
    </row>
    <row r="4" spans="1:29" s="11" customFormat="1" ht="11.25" customHeight="1" x14ac:dyDescent="0.15">
      <c r="A4" s="7">
        <f t="shared" ref="A4:A35" si="0">ROW()-4</f>
        <v>0</v>
      </c>
      <c r="B4" s="24"/>
      <c r="C4" s="13"/>
      <c r="D4" s="13"/>
      <c r="E4" s="8" t="s">
        <v>319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/>
      <c r="J7" s="9">
        <v>1</v>
      </c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114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50</v>
      </c>
      <c r="X9" s="9" t="s">
        <v>60</v>
      </c>
      <c r="Y9" s="9" t="s">
        <v>114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114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238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311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50</v>
      </c>
      <c r="X12" s="9" t="s">
        <v>60</v>
      </c>
      <c r="Y12" s="9" t="s">
        <v>114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644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50</v>
      </c>
      <c r="X13" s="9" t="s">
        <v>60</v>
      </c>
      <c r="Y13" s="9" t="s">
        <v>114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337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50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645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89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259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100</v>
      </c>
      <c r="X16" s="14" t="s">
        <v>60</v>
      </c>
      <c r="Y16" s="14" t="s">
        <v>114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167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50</v>
      </c>
      <c r="X17" s="14" t="s">
        <v>60</v>
      </c>
      <c r="Y17" s="14" t="s">
        <v>114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338</v>
      </c>
      <c r="F18" s="14"/>
      <c r="G18" s="14"/>
      <c r="H18" s="14">
        <v>1</v>
      </c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56</v>
      </c>
      <c r="W18" s="14">
        <v>20</v>
      </c>
      <c r="X18" s="14" t="s">
        <v>60</v>
      </c>
      <c r="Y18" s="14" t="s">
        <v>58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298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3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313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5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314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56</v>
      </c>
      <c r="W21" s="14">
        <v>10</v>
      </c>
      <c r="X21" s="14" t="s">
        <v>60</v>
      </c>
      <c r="Y21" s="14" t="s">
        <v>58</v>
      </c>
      <c r="Z21" s="15"/>
      <c r="AA21" s="15"/>
    </row>
    <row r="22" spans="1:27" x14ac:dyDescent="0.15">
      <c r="A22" s="11">
        <f t="shared" si="0"/>
        <v>18</v>
      </c>
      <c r="E22" s="11" t="s">
        <v>128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226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121</v>
      </c>
      <c r="V24" s="28" t="s">
        <v>238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95</v>
      </c>
      <c r="V25" s="28" t="s">
        <v>238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293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646</v>
      </c>
      <c r="V27" s="28" t="s">
        <v>89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312</v>
      </c>
      <c r="V28" s="28" t="s">
        <v>56</v>
      </c>
      <c r="W28" s="14">
        <v>50</v>
      </c>
      <c r="X28" s="14" t="s">
        <v>60</v>
      </c>
      <c r="Y28" s="14" t="s">
        <v>114</v>
      </c>
    </row>
    <row r="29" spans="1:27" x14ac:dyDescent="0.15">
      <c r="A29" s="11">
        <f t="shared" si="0"/>
        <v>25</v>
      </c>
      <c r="E29" s="11" t="s">
        <v>476</v>
      </c>
      <c r="V29" s="28" t="s">
        <v>89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208</v>
      </c>
      <c r="V30" s="28" t="s">
        <v>89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81</v>
      </c>
      <c r="V31" s="28" t="s">
        <v>56</v>
      </c>
      <c r="W31" s="14">
        <v>50</v>
      </c>
      <c r="X31" s="14" t="s">
        <v>60</v>
      </c>
      <c r="Y31" s="14" t="s">
        <v>58</v>
      </c>
    </row>
    <row r="32" spans="1:27" x14ac:dyDescent="0.15">
      <c r="A32" s="11">
        <f t="shared" si="0"/>
        <v>28</v>
      </c>
      <c r="E32" s="11" t="s">
        <v>647</v>
      </c>
      <c r="V32" s="28" t="s">
        <v>238</v>
      </c>
      <c r="X32" s="14" t="s">
        <v>60</v>
      </c>
      <c r="Y32" s="14" t="s">
        <v>64</v>
      </c>
    </row>
    <row r="33" spans="1:25" x14ac:dyDescent="0.15">
      <c r="A33" s="11">
        <f t="shared" si="0"/>
        <v>29</v>
      </c>
      <c r="E33" s="11" t="s">
        <v>477</v>
      </c>
      <c r="V33" s="28" t="s">
        <v>89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E34" s="11" t="s">
        <v>87</v>
      </c>
      <c r="V34" s="28" t="s">
        <v>63</v>
      </c>
      <c r="X34" s="14" t="s">
        <v>64</v>
      </c>
      <c r="Y34" s="14" t="s">
        <v>64</v>
      </c>
    </row>
    <row r="35" spans="1:25" x14ac:dyDescent="0.15">
      <c r="A35" s="11">
        <f t="shared" si="0"/>
        <v>31</v>
      </c>
      <c r="E35" s="11" t="s">
        <v>471</v>
      </c>
      <c r="V35" s="28" t="s">
        <v>56</v>
      </c>
      <c r="W35" s="14">
        <v>100</v>
      </c>
      <c r="X35" s="14" t="s">
        <v>60</v>
      </c>
      <c r="Y35" s="14" t="s">
        <v>58</v>
      </c>
    </row>
    <row r="36" spans="1:25" x14ac:dyDescent="0.15">
      <c r="A36" s="11">
        <f t="shared" ref="A36:A56" si="1">ROW()-4</f>
        <v>32</v>
      </c>
      <c r="E36" s="11" t="s">
        <v>482</v>
      </c>
      <c r="V36" s="28" t="s">
        <v>89</v>
      </c>
      <c r="X36" s="14" t="s">
        <v>60</v>
      </c>
      <c r="Y36" s="14" t="s">
        <v>64</v>
      </c>
    </row>
    <row r="37" spans="1:25" x14ac:dyDescent="0.15">
      <c r="A37" s="11">
        <f t="shared" si="1"/>
        <v>33</v>
      </c>
      <c r="E37" s="11" t="s">
        <v>648</v>
      </c>
      <c r="V37" s="28" t="s">
        <v>56</v>
      </c>
      <c r="W37" s="14">
        <v>50</v>
      </c>
      <c r="X37" s="14" t="s">
        <v>60</v>
      </c>
      <c r="Y37" s="14" t="s">
        <v>58</v>
      </c>
    </row>
    <row r="38" spans="1:25" x14ac:dyDescent="0.15">
      <c r="A38" s="11">
        <f t="shared" si="1"/>
        <v>34</v>
      </c>
      <c r="E38" s="11" t="s">
        <v>73</v>
      </c>
      <c r="V38" s="28" t="s">
        <v>72</v>
      </c>
      <c r="X38" s="14" t="s">
        <v>60</v>
      </c>
      <c r="Y38" s="14" t="s">
        <v>64</v>
      </c>
    </row>
    <row r="39" spans="1:25" x14ac:dyDescent="0.15">
      <c r="A39" s="11">
        <f t="shared" si="1"/>
        <v>35</v>
      </c>
      <c r="E39" s="11" t="s">
        <v>71</v>
      </c>
      <c r="V39" s="28" t="s">
        <v>72</v>
      </c>
      <c r="X39" s="14" t="s">
        <v>60</v>
      </c>
      <c r="Y39" s="14" t="s">
        <v>64</v>
      </c>
    </row>
    <row r="40" spans="1:25" x14ac:dyDescent="0.15">
      <c r="A40" s="11">
        <f t="shared" si="1"/>
        <v>36</v>
      </c>
      <c r="E40" s="11" t="s">
        <v>74</v>
      </c>
      <c r="V40" s="28" t="s">
        <v>72</v>
      </c>
      <c r="X40" s="14" t="s">
        <v>60</v>
      </c>
      <c r="Y40" s="14" t="s">
        <v>64</v>
      </c>
    </row>
    <row r="41" spans="1:25" x14ac:dyDescent="0.15">
      <c r="A41" s="11">
        <f t="shared" si="1"/>
        <v>37</v>
      </c>
      <c r="E41" s="11" t="s">
        <v>345</v>
      </c>
      <c r="V41" s="28" t="s">
        <v>56</v>
      </c>
      <c r="W41" s="14">
        <v>2</v>
      </c>
      <c r="X41" s="14" t="s">
        <v>60</v>
      </c>
      <c r="Y41" s="14" t="s">
        <v>58</v>
      </c>
    </row>
    <row r="42" spans="1:25" x14ac:dyDescent="0.15">
      <c r="A42" s="11">
        <f t="shared" si="1"/>
        <v>38</v>
      </c>
      <c r="E42" s="11" t="s">
        <v>649</v>
      </c>
      <c r="V42" s="28" t="s">
        <v>56</v>
      </c>
      <c r="W42" s="14">
        <v>50</v>
      </c>
      <c r="X42" s="14" t="s">
        <v>60</v>
      </c>
      <c r="Y42" s="14" t="s">
        <v>58</v>
      </c>
    </row>
    <row r="43" spans="1:25" x14ac:dyDescent="0.15">
      <c r="A43" s="11">
        <f t="shared" si="1"/>
        <v>39</v>
      </c>
      <c r="E43" s="11" t="s">
        <v>228</v>
      </c>
      <c r="V43" s="28" t="s">
        <v>56</v>
      </c>
      <c r="W43" s="14">
        <v>50</v>
      </c>
      <c r="X43" s="14" t="s">
        <v>60</v>
      </c>
      <c r="Y43" s="14" t="s">
        <v>58</v>
      </c>
    </row>
    <row r="44" spans="1:25" x14ac:dyDescent="0.15">
      <c r="A44" s="11">
        <f t="shared" si="1"/>
        <v>40</v>
      </c>
      <c r="E44" s="11" t="s">
        <v>470</v>
      </c>
      <c r="V44" s="28" t="s">
        <v>56</v>
      </c>
      <c r="W44" s="14">
        <v>50</v>
      </c>
      <c r="X44" s="14" t="s">
        <v>60</v>
      </c>
      <c r="Y44" s="14" t="s">
        <v>58</v>
      </c>
    </row>
    <row r="45" spans="1:25" x14ac:dyDescent="0.15">
      <c r="A45" s="11">
        <f t="shared" si="1"/>
        <v>41</v>
      </c>
      <c r="E45" s="11" t="s">
        <v>297</v>
      </c>
      <c r="V45" s="28" t="s">
        <v>56</v>
      </c>
      <c r="W45" s="14">
        <v>10</v>
      </c>
      <c r="X45" s="14" t="s">
        <v>60</v>
      </c>
      <c r="Y45" s="14" t="s">
        <v>58</v>
      </c>
    </row>
    <row r="46" spans="1:25" x14ac:dyDescent="0.15">
      <c r="A46" s="11">
        <f t="shared" si="1"/>
        <v>42</v>
      </c>
      <c r="E46" s="11" t="s">
        <v>650</v>
      </c>
      <c r="V46" s="28" t="s">
        <v>56</v>
      </c>
      <c r="W46" s="14">
        <v>10</v>
      </c>
      <c r="X46" s="14" t="s">
        <v>60</v>
      </c>
      <c r="Y46" s="14" t="s">
        <v>58</v>
      </c>
    </row>
    <row r="47" spans="1:25" x14ac:dyDescent="0.15">
      <c r="A47" s="11">
        <f t="shared" si="1"/>
        <v>43</v>
      </c>
      <c r="E47" s="11" t="s">
        <v>651</v>
      </c>
      <c r="V47" s="28" t="s">
        <v>56</v>
      </c>
      <c r="W47" s="14">
        <v>50</v>
      </c>
      <c r="X47" s="14" t="s">
        <v>60</v>
      </c>
      <c r="Y47" s="14" t="s">
        <v>58</v>
      </c>
    </row>
    <row r="48" spans="1:25" x14ac:dyDescent="0.15">
      <c r="A48" s="11">
        <f t="shared" si="1"/>
        <v>44</v>
      </c>
      <c r="E48" s="11" t="s">
        <v>652</v>
      </c>
      <c r="V48" s="28" t="s">
        <v>56</v>
      </c>
      <c r="W48" s="14">
        <v>50</v>
      </c>
      <c r="X48" s="14" t="s">
        <v>60</v>
      </c>
      <c r="Y48" s="14" t="s">
        <v>58</v>
      </c>
    </row>
    <row r="49" spans="1:25" x14ac:dyDescent="0.15">
      <c r="A49" s="11">
        <f t="shared" si="1"/>
        <v>45</v>
      </c>
      <c r="E49" s="11" t="s">
        <v>474</v>
      </c>
      <c r="V49" s="28" t="s">
        <v>89</v>
      </c>
      <c r="X49" s="14" t="s">
        <v>60</v>
      </c>
      <c r="Y49" s="14" t="s">
        <v>64</v>
      </c>
    </row>
    <row r="50" spans="1:25" x14ac:dyDescent="0.15">
      <c r="A50" s="11">
        <f t="shared" si="1"/>
        <v>46</v>
      </c>
      <c r="E50" s="11" t="s">
        <v>475</v>
      </c>
      <c r="V50" s="28" t="s">
        <v>56</v>
      </c>
      <c r="W50" s="14">
        <v>255</v>
      </c>
      <c r="X50" s="14" t="s">
        <v>60</v>
      </c>
      <c r="Y50" s="14" t="s">
        <v>58</v>
      </c>
    </row>
    <row r="51" spans="1:25" x14ac:dyDescent="0.15">
      <c r="A51" s="11">
        <f t="shared" si="1"/>
        <v>47</v>
      </c>
      <c r="E51" s="11" t="s">
        <v>478</v>
      </c>
      <c r="V51" s="28" t="s">
        <v>63</v>
      </c>
      <c r="X51" s="14" t="s">
        <v>64</v>
      </c>
      <c r="Y51" s="14" t="s">
        <v>64</v>
      </c>
    </row>
    <row r="52" spans="1:25" x14ac:dyDescent="0.15">
      <c r="A52" s="11">
        <f t="shared" si="1"/>
        <v>48</v>
      </c>
      <c r="E52" s="11" t="s">
        <v>479</v>
      </c>
      <c r="V52" s="28" t="s">
        <v>56</v>
      </c>
      <c r="W52" s="14">
        <v>50</v>
      </c>
      <c r="X52" s="14" t="s">
        <v>60</v>
      </c>
      <c r="Y52" s="14" t="s">
        <v>58</v>
      </c>
    </row>
    <row r="53" spans="1:25" x14ac:dyDescent="0.15">
      <c r="A53" s="11">
        <f t="shared" si="1"/>
        <v>49</v>
      </c>
      <c r="E53" s="11" t="s">
        <v>480</v>
      </c>
      <c r="V53" s="28" t="s">
        <v>56</v>
      </c>
      <c r="W53" s="14">
        <v>255</v>
      </c>
      <c r="X53" s="14" t="s">
        <v>60</v>
      </c>
      <c r="Y53" s="14" t="s">
        <v>58</v>
      </c>
    </row>
    <row r="54" spans="1:25" x14ac:dyDescent="0.15">
      <c r="A54" s="11">
        <f t="shared" si="1"/>
        <v>50</v>
      </c>
      <c r="E54" s="11" t="s">
        <v>157</v>
      </c>
      <c r="V54" s="28" t="s">
        <v>63</v>
      </c>
      <c r="X54" s="14" t="s">
        <v>64</v>
      </c>
      <c r="Y54" s="14" t="s">
        <v>64</v>
      </c>
    </row>
    <row r="55" spans="1:25" x14ac:dyDescent="0.15">
      <c r="A55" s="11">
        <f t="shared" si="1"/>
        <v>51</v>
      </c>
      <c r="E55" s="11" t="s">
        <v>98</v>
      </c>
      <c r="V55" s="28" t="s">
        <v>63</v>
      </c>
      <c r="X55" s="14" t="s">
        <v>64</v>
      </c>
      <c r="Y55" s="14" t="s">
        <v>64</v>
      </c>
    </row>
    <row r="56" spans="1:25" x14ac:dyDescent="0.15">
      <c r="A56" s="11">
        <f t="shared" si="1"/>
        <v>52</v>
      </c>
      <c r="E56" s="11" t="s">
        <v>483</v>
      </c>
      <c r="V56" s="28" t="s">
        <v>80</v>
      </c>
      <c r="X56" s="14" t="s">
        <v>60</v>
      </c>
      <c r="Y56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AC57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7" t="s">
        <v>3</v>
      </c>
      <c r="B1" s="68"/>
      <c r="C1" s="55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7"/>
      <c r="V1" s="61" t="s">
        <v>4</v>
      </c>
      <c r="W1" s="50"/>
      <c r="X1" s="50"/>
      <c r="Y1" s="50"/>
      <c r="Z1" s="50"/>
      <c r="AA1" s="50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6" t="s">
        <v>49</v>
      </c>
      <c r="B2" s="47"/>
      <c r="C2" s="58" t="s">
        <v>653</v>
      </c>
      <c r="D2" s="59"/>
      <c r="E2" s="60"/>
      <c r="F2" s="63" t="s">
        <v>5</v>
      </c>
      <c r="G2" s="65" t="s">
        <v>47</v>
      </c>
      <c r="H2" s="65"/>
      <c r="I2" s="65"/>
      <c r="J2" s="65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2"/>
      <c r="W2" s="51"/>
      <c r="X2" s="51"/>
      <c r="Y2" s="51"/>
      <c r="Z2" s="51"/>
      <c r="AA2" s="51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2" t="s">
        <v>0</v>
      </c>
      <c r="C3" s="53"/>
      <c r="D3" s="54"/>
      <c r="E3" s="25" t="s">
        <v>53</v>
      </c>
      <c r="F3" s="64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8" t="s">
        <v>2</v>
      </c>
      <c r="AA3" s="49"/>
    </row>
    <row r="4" spans="1:29" s="11" customFormat="1" ht="11.25" customHeight="1" x14ac:dyDescent="0.15">
      <c r="A4" s="7">
        <f t="shared" ref="A4:A35" si="0">ROW()-4</f>
        <v>0</v>
      </c>
      <c r="B4" s="24"/>
      <c r="C4" s="13"/>
      <c r="D4" s="13"/>
      <c r="E4" s="8" t="s">
        <v>319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/>
      <c r="J7" s="9">
        <v>1</v>
      </c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114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50</v>
      </c>
      <c r="X9" s="9" t="s">
        <v>60</v>
      </c>
      <c r="Y9" s="9" t="s">
        <v>114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114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238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340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341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80</v>
      </c>
      <c r="W13" s="9"/>
      <c r="X13" s="9" t="s">
        <v>60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311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50</v>
      </c>
      <c r="X14" s="14" t="s">
        <v>60</v>
      </c>
      <c r="Y14" s="14" t="s">
        <v>114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644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50</v>
      </c>
      <c r="X15" s="14" t="s">
        <v>60</v>
      </c>
      <c r="Y15" s="14" t="s">
        <v>114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298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5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259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100</v>
      </c>
      <c r="X17" s="14" t="s">
        <v>60</v>
      </c>
      <c r="Y17" s="14" t="s">
        <v>114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167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56</v>
      </c>
      <c r="W18" s="14">
        <v>20</v>
      </c>
      <c r="X18" s="14" t="s">
        <v>60</v>
      </c>
      <c r="Y18" s="14" t="s">
        <v>114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338</v>
      </c>
      <c r="F19" s="14"/>
      <c r="G19" s="14"/>
      <c r="H19" s="14">
        <v>1</v>
      </c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20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313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5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314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56</v>
      </c>
      <c r="W21" s="14">
        <v>10</v>
      </c>
      <c r="X21" s="14" t="s">
        <v>60</v>
      </c>
      <c r="Y21" s="14" t="s">
        <v>58</v>
      </c>
      <c r="Z21" s="15"/>
      <c r="AA21" s="15"/>
    </row>
    <row r="22" spans="1:27" x14ac:dyDescent="0.15">
      <c r="A22" s="11">
        <f t="shared" si="0"/>
        <v>18</v>
      </c>
      <c r="E22" s="11" t="s">
        <v>128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226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339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121</v>
      </c>
      <c r="V25" s="28" t="s">
        <v>238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95</v>
      </c>
      <c r="V26" s="28" t="s">
        <v>238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293</v>
      </c>
      <c r="V27" s="2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646</v>
      </c>
      <c r="V28" s="28" t="s">
        <v>89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312</v>
      </c>
      <c r="V29" s="28" t="s">
        <v>56</v>
      </c>
      <c r="W29" s="14">
        <v>50</v>
      </c>
      <c r="X29" s="14" t="s">
        <v>60</v>
      </c>
      <c r="Y29" s="14" t="s">
        <v>114</v>
      </c>
    </row>
    <row r="30" spans="1:27" x14ac:dyDescent="0.15">
      <c r="A30" s="11">
        <f t="shared" si="0"/>
        <v>26</v>
      </c>
      <c r="E30" s="11" t="s">
        <v>476</v>
      </c>
      <c r="V30" s="28" t="s">
        <v>89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208</v>
      </c>
      <c r="V31" s="28" t="s">
        <v>89</v>
      </c>
      <c r="X31" s="14" t="s">
        <v>60</v>
      </c>
      <c r="Y31" s="14" t="s">
        <v>64</v>
      </c>
    </row>
    <row r="32" spans="1:27" x14ac:dyDescent="0.15">
      <c r="A32" s="11">
        <f t="shared" si="0"/>
        <v>28</v>
      </c>
      <c r="E32" s="11" t="s">
        <v>81</v>
      </c>
      <c r="V32" s="28" t="s">
        <v>56</v>
      </c>
      <c r="W32" s="14">
        <v>50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E33" s="11" t="s">
        <v>647</v>
      </c>
      <c r="V33" s="28" t="s">
        <v>238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E34" s="11" t="s">
        <v>477</v>
      </c>
      <c r="V34" s="28" t="s">
        <v>89</v>
      </c>
      <c r="X34" s="14" t="s">
        <v>60</v>
      </c>
      <c r="Y34" s="14" t="s">
        <v>64</v>
      </c>
    </row>
    <row r="35" spans="1:25" x14ac:dyDescent="0.15">
      <c r="A35" s="11">
        <f t="shared" si="0"/>
        <v>31</v>
      </c>
      <c r="E35" s="11" t="s">
        <v>87</v>
      </c>
      <c r="V35" s="28" t="s">
        <v>63</v>
      </c>
      <c r="X35" s="14" t="s">
        <v>64</v>
      </c>
      <c r="Y35" s="14" t="s">
        <v>64</v>
      </c>
    </row>
    <row r="36" spans="1:25" x14ac:dyDescent="0.15">
      <c r="A36" s="11">
        <f t="shared" ref="A36:A57" si="1">ROW()-4</f>
        <v>32</v>
      </c>
      <c r="E36" s="11" t="s">
        <v>471</v>
      </c>
      <c r="V36" s="28" t="s">
        <v>56</v>
      </c>
      <c r="W36" s="14">
        <v>100</v>
      </c>
      <c r="X36" s="14" t="s">
        <v>60</v>
      </c>
      <c r="Y36" s="14" t="s">
        <v>58</v>
      </c>
    </row>
    <row r="37" spans="1:25" x14ac:dyDescent="0.15">
      <c r="A37" s="11">
        <f t="shared" si="1"/>
        <v>33</v>
      </c>
      <c r="E37" s="11" t="s">
        <v>482</v>
      </c>
      <c r="V37" s="28" t="s">
        <v>89</v>
      </c>
      <c r="X37" s="14" t="s">
        <v>60</v>
      </c>
      <c r="Y37" s="14" t="s">
        <v>64</v>
      </c>
    </row>
    <row r="38" spans="1:25" x14ac:dyDescent="0.15">
      <c r="A38" s="11">
        <f t="shared" si="1"/>
        <v>34</v>
      </c>
      <c r="E38" s="11" t="s">
        <v>648</v>
      </c>
      <c r="V38" s="28" t="s">
        <v>56</v>
      </c>
      <c r="W38" s="14">
        <v>50</v>
      </c>
      <c r="X38" s="14" t="s">
        <v>60</v>
      </c>
      <c r="Y38" s="14" t="s">
        <v>58</v>
      </c>
    </row>
    <row r="39" spans="1:25" x14ac:dyDescent="0.15">
      <c r="A39" s="11">
        <f t="shared" si="1"/>
        <v>35</v>
      </c>
      <c r="E39" s="11" t="s">
        <v>73</v>
      </c>
      <c r="V39" s="28" t="s">
        <v>72</v>
      </c>
      <c r="X39" s="14" t="s">
        <v>60</v>
      </c>
      <c r="Y39" s="14" t="s">
        <v>64</v>
      </c>
    </row>
    <row r="40" spans="1:25" x14ac:dyDescent="0.15">
      <c r="A40" s="11">
        <f t="shared" si="1"/>
        <v>36</v>
      </c>
      <c r="E40" s="11" t="s">
        <v>71</v>
      </c>
      <c r="V40" s="28" t="s">
        <v>72</v>
      </c>
      <c r="X40" s="14" t="s">
        <v>60</v>
      </c>
      <c r="Y40" s="14" t="s">
        <v>64</v>
      </c>
    </row>
    <row r="41" spans="1:25" x14ac:dyDescent="0.15">
      <c r="A41" s="11">
        <f t="shared" si="1"/>
        <v>37</v>
      </c>
      <c r="E41" s="11" t="s">
        <v>74</v>
      </c>
      <c r="V41" s="28" t="s">
        <v>72</v>
      </c>
      <c r="X41" s="14" t="s">
        <v>60</v>
      </c>
      <c r="Y41" s="14" t="s">
        <v>64</v>
      </c>
    </row>
    <row r="42" spans="1:25" x14ac:dyDescent="0.15">
      <c r="A42" s="11">
        <f t="shared" si="1"/>
        <v>38</v>
      </c>
      <c r="E42" s="11" t="s">
        <v>345</v>
      </c>
      <c r="V42" s="28" t="s">
        <v>56</v>
      </c>
      <c r="W42" s="14">
        <v>2</v>
      </c>
      <c r="X42" s="14" t="s">
        <v>60</v>
      </c>
      <c r="Y42" s="14" t="s">
        <v>58</v>
      </c>
    </row>
    <row r="43" spans="1:25" x14ac:dyDescent="0.15">
      <c r="A43" s="11">
        <f t="shared" si="1"/>
        <v>39</v>
      </c>
      <c r="E43" s="11" t="s">
        <v>649</v>
      </c>
      <c r="V43" s="28" t="s">
        <v>56</v>
      </c>
      <c r="W43" s="14">
        <v>50</v>
      </c>
      <c r="X43" s="14" t="s">
        <v>60</v>
      </c>
      <c r="Y43" s="14" t="s">
        <v>58</v>
      </c>
    </row>
    <row r="44" spans="1:25" x14ac:dyDescent="0.15">
      <c r="A44" s="11">
        <f t="shared" si="1"/>
        <v>40</v>
      </c>
      <c r="E44" s="11" t="s">
        <v>228</v>
      </c>
      <c r="V44" s="28" t="s">
        <v>56</v>
      </c>
      <c r="W44" s="14">
        <v>50</v>
      </c>
      <c r="X44" s="14" t="s">
        <v>60</v>
      </c>
      <c r="Y44" s="14" t="s">
        <v>58</v>
      </c>
    </row>
    <row r="45" spans="1:25" x14ac:dyDescent="0.15">
      <c r="A45" s="11">
        <f t="shared" si="1"/>
        <v>41</v>
      </c>
      <c r="E45" s="11" t="s">
        <v>470</v>
      </c>
      <c r="V45" s="28" t="s">
        <v>56</v>
      </c>
      <c r="W45" s="14">
        <v>50</v>
      </c>
      <c r="X45" s="14" t="s">
        <v>60</v>
      </c>
      <c r="Y45" s="14" t="s">
        <v>58</v>
      </c>
    </row>
    <row r="46" spans="1:25" x14ac:dyDescent="0.15">
      <c r="A46" s="11">
        <f t="shared" si="1"/>
        <v>42</v>
      </c>
      <c r="E46" s="11" t="s">
        <v>297</v>
      </c>
      <c r="V46" s="28" t="s">
        <v>56</v>
      </c>
      <c r="W46" s="14">
        <v>10</v>
      </c>
      <c r="X46" s="14" t="s">
        <v>60</v>
      </c>
      <c r="Y46" s="14" t="s">
        <v>58</v>
      </c>
    </row>
    <row r="47" spans="1:25" x14ac:dyDescent="0.15">
      <c r="A47" s="11">
        <f t="shared" si="1"/>
        <v>43</v>
      </c>
      <c r="E47" s="11" t="s">
        <v>651</v>
      </c>
      <c r="V47" s="28" t="s">
        <v>56</v>
      </c>
      <c r="W47" s="14">
        <v>50</v>
      </c>
      <c r="X47" s="14" t="s">
        <v>60</v>
      </c>
      <c r="Y47" s="14" t="s">
        <v>58</v>
      </c>
    </row>
    <row r="48" spans="1:25" x14ac:dyDescent="0.15">
      <c r="A48" s="11">
        <f t="shared" si="1"/>
        <v>44</v>
      </c>
      <c r="E48" s="11" t="s">
        <v>652</v>
      </c>
      <c r="V48" s="28" t="s">
        <v>56</v>
      </c>
      <c r="W48" s="14">
        <v>50</v>
      </c>
      <c r="X48" s="14" t="s">
        <v>60</v>
      </c>
      <c r="Y48" s="14" t="s">
        <v>58</v>
      </c>
    </row>
    <row r="49" spans="1:26" x14ac:dyDescent="0.15">
      <c r="A49" s="11">
        <f t="shared" si="1"/>
        <v>45</v>
      </c>
      <c r="E49" s="11" t="s">
        <v>474</v>
      </c>
      <c r="V49" s="28" t="s">
        <v>89</v>
      </c>
      <c r="X49" s="14" t="s">
        <v>60</v>
      </c>
      <c r="Y49" s="14" t="s">
        <v>64</v>
      </c>
    </row>
    <row r="50" spans="1:26" x14ac:dyDescent="0.15">
      <c r="A50" s="11">
        <f t="shared" si="1"/>
        <v>46</v>
      </c>
      <c r="E50" s="11" t="s">
        <v>475</v>
      </c>
      <c r="V50" s="28" t="s">
        <v>56</v>
      </c>
      <c r="W50" s="14">
        <v>255</v>
      </c>
      <c r="X50" s="14" t="s">
        <v>60</v>
      </c>
      <c r="Y50" s="14" t="s">
        <v>58</v>
      </c>
    </row>
    <row r="51" spans="1:26" x14ac:dyDescent="0.15">
      <c r="A51" s="11">
        <f t="shared" si="1"/>
        <v>47</v>
      </c>
      <c r="E51" s="11" t="s">
        <v>478</v>
      </c>
      <c r="V51" s="28" t="s">
        <v>63</v>
      </c>
      <c r="X51" s="14" t="s">
        <v>64</v>
      </c>
      <c r="Y51" s="14" t="s">
        <v>64</v>
      </c>
    </row>
    <row r="52" spans="1:26" x14ac:dyDescent="0.15">
      <c r="A52" s="11">
        <f t="shared" si="1"/>
        <v>48</v>
      </c>
      <c r="E52" s="11" t="s">
        <v>479</v>
      </c>
      <c r="V52" s="28" t="s">
        <v>56</v>
      </c>
      <c r="W52" s="14">
        <v>50</v>
      </c>
      <c r="X52" s="14" t="s">
        <v>60</v>
      </c>
      <c r="Y52" s="14" t="s">
        <v>58</v>
      </c>
    </row>
    <row r="53" spans="1:26" x14ac:dyDescent="0.15">
      <c r="A53" s="11">
        <f t="shared" si="1"/>
        <v>49</v>
      </c>
      <c r="E53" s="11" t="s">
        <v>480</v>
      </c>
      <c r="V53" s="28" t="s">
        <v>56</v>
      </c>
      <c r="W53" s="14">
        <v>255</v>
      </c>
      <c r="X53" s="14" t="s">
        <v>60</v>
      </c>
      <c r="Y53" s="14" t="s">
        <v>58</v>
      </c>
    </row>
    <row r="54" spans="1:26" x14ac:dyDescent="0.15">
      <c r="A54" s="11">
        <f t="shared" si="1"/>
        <v>50</v>
      </c>
      <c r="E54" s="11" t="s">
        <v>157</v>
      </c>
      <c r="V54" s="28" t="s">
        <v>63</v>
      </c>
      <c r="X54" s="14" t="s">
        <v>64</v>
      </c>
      <c r="Y54" s="14" t="s">
        <v>64</v>
      </c>
    </row>
    <row r="55" spans="1:26" x14ac:dyDescent="0.15">
      <c r="A55" s="11">
        <f t="shared" si="1"/>
        <v>51</v>
      </c>
      <c r="E55" s="11" t="s">
        <v>98</v>
      </c>
      <c r="V55" s="28" t="s">
        <v>63</v>
      </c>
      <c r="X55" s="14" t="s">
        <v>64</v>
      </c>
      <c r="Y55" s="14" t="s">
        <v>64</v>
      </c>
    </row>
    <row r="56" spans="1:26" x14ac:dyDescent="0.15">
      <c r="A56" s="11">
        <f t="shared" si="1"/>
        <v>52</v>
      </c>
      <c r="E56" s="11" t="s">
        <v>483</v>
      </c>
      <c r="V56" s="28" t="s">
        <v>80</v>
      </c>
      <c r="X56" s="14" t="s">
        <v>60</v>
      </c>
      <c r="Y56" s="14" t="s">
        <v>64</v>
      </c>
    </row>
    <row r="57" spans="1:26" x14ac:dyDescent="0.15">
      <c r="A57" s="11">
        <f t="shared" si="1"/>
        <v>53</v>
      </c>
      <c r="E57" s="11" t="s">
        <v>731</v>
      </c>
      <c r="V57" s="45" t="s">
        <v>80</v>
      </c>
      <c r="X57" s="14" t="s">
        <v>60</v>
      </c>
      <c r="Y57" s="14" t="s">
        <v>64</v>
      </c>
      <c r="Z57" s="15" t="s">
        <v>732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36 A1:A1048576"/>
    <dataValidation type="whole" imeMode="off" operator="greaterThanOrEqual" allowBlank="1" showInputMessage="1" showErrorMessage="1" sqref="F2:U65536 W3:W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1:AC3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7" t="s">
        <v>3</v>
      </c>
      <c r="B1" s="68"/>
      <c r="C1" s="55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7"/>
      <c r="V1" s="61" t="s">
        <v>4</v>
      </c>
      <c r="W1" s="50"/>
      <c r="X1" s="50"/>
      <c r="Y1" s="50"/>
      <c r="Z1" s="50"/>
      <c r="AA1" s="50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6" t="s">
        <v>49</v>
      </c>
      <c r="B2" s="47"/>
      <c r="C2" s="58" t="s">
        <v>656</v>
      </c>
      <c r="D2" s="59"/>
      <c r="E2" s="60"/>
      <c r="F2" s="63" t="s">
        <v>5</v>
      </c>
      <c r="G2" s="65" t="s">
        <v>47</v>
      </c>
      <c r="H2" s="65"/>
      <c r="I2" s="65"/>
      <c r="J2" s="65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2"/>
      <c r="W2" s="51"/>
      <c r="X2" s="51"/>
      <c r="Y2" s="51"/>
      <c r="Z2" s="51"/>
      <c r="AA2" s="51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52" t="s">
        <v>0</v>
      </c>
      <c r="C3" s="53"/>
      <c r="D3" s="54"/>
      <c r="E3" s="25" t="s">
        <v>53</v>
      </c>
      <c r="F3" s="64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8" t="s">
        <v>2</v>
      </c>
      <c r="AA3" s="49"/>
    </row>
    <row r="4" spans="1:29" s="11" customFormat="1" ht="11.25" customHeight="1" x14ac:dyDescent="0.15">
      <c r="A4" s="7">
        <f t="shared" ref="A4:A33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79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238</v>
      </c>
      <c r="W7" s="9"/>
      <c r="X7" s="9" t="s">
        <v>57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257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156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100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657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100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658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100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490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489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227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255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492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238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659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50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493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50</v>
      </c>
      <c r="X17" s="14" t="s">
        <v>60</v>
      </c>
      <c r="Y17" s="14" t="s">
        <v>58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128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238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660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72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661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72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226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238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121</v>
      </c>
      <c r="V22" s="28" t="s">
        <v>238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95</v>
      </c>
      <c r="V23" s="17" t="s">
        <v>238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646</v>
      </c>
      <c r="V24" s="28" t="s">
        <v>89</v>
      </c>
      <c r="X24" s="14" t="s">
        <v>57</v>
      </c>
      <c r="Y24" s="14" t="s">
        <v>64</v>
      </c>
    </row>
    <row r="25" spans="1:27" x14ac:dyDescent="0.15">
      <c r="A25" s="11">
        <f t="shared" si="0"/>
        <v>21</v>
      </c>
      <c r="E25" s="11" t="s">
        <v>662</v>
      </c>
      <c r="V25" s="28" t="s">
        <v>89</v>
      </c>
      <c r="X25" s="14" t="s">
        <v>57</v>
      </c>
      <c r="Y25" s="14" t="s">
        <v>64</v>
      </c>
    </row>
    <row r="26" spans="1:27" x14ac:dyDescent="0.15">
      <c r="A26" s="11">
        <f t="shared" si="0"/>
        <v>22</v>
      </c>
      <c r="E26" s="11" t="s">
        <v>167</v>
      </c>
      <c r="V26" s="28" t="s">
        <v>56</v>
      </c>
      <c r="W26" s="14">
        <v>20</v>
      </c>
      <c r="X26" s="14" t="s">
        <v>60</v>
      </c>
      <c r="Y26" s="14" t="s">
        <v>58</v>
      </c>
    </row>
    <row r="27" spans="1:27" x14ac:dyDescent="0.15">
      <c r="A27" s="11">
        <f t="shared" si="0"/>
        <v>23</v>
      </c>
      <c r="E27" s="11" t="s">
        <v>663</v>
      </c>
      <c r="V27" s="28" t="s">
        <v>56</v>
      </c>
      <c r="W27" s="14">
        <v>20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664</v>
      </c>
      <c r="V28" s="28" t="s">
        <v>89</v>
      </c>
      <c r="X28" s="14" t="s">
        <v>57</v>
      </c>
      <c r="Y28" s="14" t="s">
        <v>64</v>
      </c>
    </row>
    <row r="29" spans="1:27" x14ac:dyDescent="0.15">
      <c r="A29" s="11">
        <f t="shared" si="0"/>
        <v>25</v>
      </c>
      <c r="E29" s="11" t="s">
        <v>665</v>
      </c>
      <c r="V29" s="28" t="s">
        <v>238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666</v>
      </c>
      <c r="V30" s="28" t="s">
        <v>56</v>
      </c>
      <c r="W30" s="14">
        <v>5</v>
      </c>
      <c r="X30" s="14" t="s">
        <v>60</v>
      </c>
      <c r="Y30" s="14" t="s">
        <v>58</v>
      </c>
    </row>
    <row r="31" spans="1:27" x14ac:dyDescent="0.15">
      <c r="A31" s="11">
        <f t="shared" si="0"/>
        <v>27</v>
      </c>
      <c r="E31" s="11" t="s">
        <v>667</v>
      </c>
      <c r="V31" s="2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E32" s="11" t="s">
        <v>491</v>
      </c>
      <c r="V32" s="28" t="s">
        <v>56</v>
      </c>
      <c r="W32" s="14">
        <v>50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E33" s="11" t="s">
        <v>344</v>
      </c>
      <c r="V33" s="28" t="s">
        <v>80</v>
      </c>
      <c r="X33" s="14" t="s">
        <v>60</v>
      </c>
      <c r="Y33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A1:AC46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36" customWidth="1"/>
    <col min="4" max="4" width="12.625" style="36" customWidth="1"/>
    <col min="5" max="5" width="13.125" style="11" customWidth="1"/>
    <col min="6" max="6" width="3.75" style="14" customWidth="1"/>
    <col min="7" max="21" width="2.625" style="14" customWidth="1"/>
    <col min="22" max="22" width="8.75" style="36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7" t="s">
        <v>3</v>
      </c>
      <c r="B1" s="68"/>
      <c r="C1" s="55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7"/>
      <c r="V1" s="61" t="s">
        <v>4</v>
      </c>
      <c r="W1" s="50"/>
      <c r="X1" s="50"/>
      <c r="Y1" s="50"/>
      <c r="Z1" s="50"/>
      <c r="AA1" s="50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46" t="s">
        <v>49</v>
      </c>
      <c r="B2" s="47"/>
      <c r="C2" s="58" t="s">
        <v>682</v>
      </c>
      <c r="D2" s="59"/>
      <c r="E2" s="60"/>
      <c r="F2" s="63" t="s">
        <v>5</v>
      </c>
      <c r="G2" s="65" t="s">
        <v>47</v>
      </c>
      <c r="H2" s="65"/>
      <c r="I2" s="65"/>
      <c r="J2" s="65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2"/>
      <c r="W2" s="51"/>
      <c r="X2" s="51"/>
      <c r="Y2" s="51"/>
      <c r="Z2" s="51"/>
      <c r="AA2" s="51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33" t="s">
        <v>48</v>
      </c>
      <c r="B3" s="52" t="s">
        <v>0</v>
      </c>
      <c r="C3" s="53"/>
      <c r="D3" s="54"/>
      <c r="E3" s="32" t="s">
        <v>53</v>
      </c>
      <c r="F3" s="64"/>
      <c r="G3" s="34" t="s">
        <v>6</v>
      </c>
      <c r="H3" s="34" t="s">
        <v>7</v>
      </c>
      <c r="I3" s="34" t="s">
        <v>8</v>
      </c>
      <c r="J3" s="34" t="s">
        <v>9</v>
      </c>
      <c r="K3" s="34" t="s">
        <v>10</v>
      </c>
      <c r="L3" s="34">
        <v>6</v>
      </c>
      <c r="M3" s="34">
        <v>7</v>
      </c>
      <c r="N3" s="34">
        <v>8</v>
      </c>
      <c r="O3" s="34">
        <v>9</v>
      </c>
      <c r="P3" s="34">
        <v>10</v>
      </c>
      <c r="Q3" s="34">
        <v>11</v>
      </c>
      <c r="R3" s="34">
        <v>12</v>
      </c>
      <c r="S3" s="34">
        <v>13</v>
      </c>
      <c r="T3" s="34">
        <v>14</v>
      </c>
      <c r="U3" s="34">
        <v>15</v>
      </c>
      <c r="V3" s="34" t="s">
        <v>1</v>
      </c>
      <c r="W3" s="34" t="s">
        <v>17</v>
      </c>
      <c r="X3" s="34" t="s">
        <v>18</v>
      </c>
      <c r="Y3" s="34" t="s">
        <v>19</v>
      </c>
      <c r="Z3" s="48" t="s">
        <v>2</v>
      </c>
      <c r="AA3" s="49"/>
    </row>
    <row r="4" spans="1:29" s="11" customFormat="1" ht="11.25" customHeight="1" x14ac:dyDescent="0.15">
      <c r="A4" s="7">
        <f t="shared" ref="A4:A46" si="0">ROW()-4</f>
        <v>0</v>
      </c>
      <c r="B4" s="24"/>
      <c r="C4" s="35"/>
      <c r="D4" s="35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35"/>
      <c r="C5" s="35"/>
      <c r="D5" s="35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35"/>
      <c r="C6" s="35"/>
      <c r="D6" s="35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35"/>
      <c r="C7" s="35"/>
      <c r="D7" s="35"/>
      <c r="E7" s="8" t="s">
        <v>79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80</v>
      </c>
      <c r="W7" s="9"/>
      <c r="X7" s="9" t="s">
        <v>60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35"/>
      <c r="C8" s="35"/>
      <c r="D8" s="35"/>
      <c r="E8" s="8" t="s">
        <v>257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35"/>
      <c r="C9" s="35"/>
      <c r="D9" s="35"/>
      <c r="E9" s="8" t="s">
        <v>156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50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35"/>
      <c r="C10" s="35"/>
      <c r="D10" s="35"/>
      <c r="E10" s="8" t="s">
        <v>490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10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35"/>
      <c r="C11" s="35"/>
      <c r="D11" s="35"/>
      <c r="E11" s="8" t="s">
        <v>489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35"/>
      <c r="C12" s="35"/>
      <c r="D12" s="35"/>
      <c r="E12" s="8" t="s">
        <v>227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35"/>
      <c r="C13" s="35"/>
      <c r="D13" s="35"/>
      <c r="E13" s="8" t="s">
        <v>683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35"/>
      <c r="C14" s="36"/>
      <c r="D14" s="36"/>
      <c r="E14" s="11" t="s">
        <v>492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37" t="s">
        <v>80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35"/>
      <c r="C15" s="36"/>
      <c r="D15" s="36"/>
      <c r="E15" s="11" t="s">
        <v>659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37" t="s">
        <v>56</v>
      </c>
      <c r="W15" s="14">
        <v>50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35"/>
      <c r="C16" s="36"/>
      <c r="D16" s="36"/>
      <c r="E16" s="11" t="s">
        <v>493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37" t="s">
        <v>56</v>
      </c>
      <c r="W16" s="14">
        <v>50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36"/>
      <c r="C17" s="36"/>
      <c r="D17" s="36"/>
      <c r="E17" s="11" t="s">
        <v>128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37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36"/>
      <c r="C18" s="36"/>
      <c r="D18" s="36"/>
      <c r="E18" s="11" t="s">
        <v>660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37" t="s">
        <v>72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36"/>
      <c r="C19" s="36"/>
      <c r="D19" s="36"/>
      <c r="E19" s="11" t="s">
        <v>226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37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36"/>
      <c r="C20" s="36"/>
      <c r="D20" s="36"/>
      <c r="E20" s="11" t="s">
        <v>121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37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36"/>
      <c r="C21" s="36"/>
      <c r="D21" s="36"/>
      <c r="E21" s="11" t="s">
        <v>95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37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684</v>
      </c>
      <c r="V22" s="37" t="s">
        <v>56</v>
      </c>
      <c r="W22" s="14">
        <v>100</v>
      </c>
      <c r="X22" s="14" t="s">
        <v>60</v>
      </c>
      <c r="Y22" s="14" t="s">
        <v>58</v>
      </c>
    </row>
    <row r="23" spans="1:27" x14ac:dyDescent="0.15">
      <c r="A23" s="11">
        <f t="shared" si="0"/>
        <v>19</v>
      </c>
      <c r="E23" s="11" t="s">
        <v>259</v>
      </c>
      <c r="V23" s="17" t="s">
        <v>56</v>
      </c>
      <c r="W23" s="14">
        <v>100</v>
      </c>
      <c r="X23" s="14" t="s">
        <v>60</v>
      </c>
      <c r="Y23" s="14" t="s">
        <v>58</v>
      </c>
    </row>
    <row r="24" spans="1:27" x14ac:dyDescent="0.15">
      <c r="A24" s="11">
        <f t="shared" si="0"/>
        <v>20</v>
      </c>
      <c r="E24" s="11" t="s">
        <v>312</v>
      </c>
      <c r="V24" s="37" t="s">
        <v>56</v>
      </c>
      <c r="W24" s="14">
        <v>50</v>
      </c>
      <c r="X24" s="14" t="s">
        <v>60</v>
      </c>
      <c r="Y24" s="14" t="s">
        <v>58</v>
      </c>
    </row>
    <row r="25" spans="1:27" x14ac:dyDescent="0.15">
      <c r="A25" s="11">
        <f t="shared" si="0"/>
        <v>21</v>
      </c>
      <c r="E25" s="11" t="s">
        <v>685</v>
      </c>
      <c r="V25" s="37" t="s">
        <v>56</v>
      </c>
      <c r="W25" s="14">
        <v>50</v>
      </c>
      <c r="X25" s="14" t="s">
        <v>60</v>
      </c>
      <c r="Y25" s="14" t="s">
        <v>58</v>
      </c>
    </row>
    <row r="26" spans="1:27" x14ac:dyDescent="0.15">
      <c r="A26" s="11">
        <f t="shared" si="0"/>
        <v>22</v>
      </c>
      <c r="E26" s="11" t="s">
        <v>686</v>
      </c>
      <c r="V26" s="37" t="s">
        <v>56</v>
      </c>
      <c r="W26" s="14">
        <v>10</v>
      </c>
      <c r="X26" s="14" t="s">
        <v>60</v>
      </c>
      <c r="Y26" s="14" t="s">
        <v>58</v>
      </c>
    </row>
    <row r="27" spans="1:27" x14ac:dyDescent="0.15">
      <c r="A27" s="11">
        <f t="shared" si="0"/>
        <v>23</v>
      </c>
      <c r="E27" s="11" t="s">
        <v>687</v>
      </c>
      <c r="V27" s="37" t="s">
        <v>56</v>
      </c>
      <c r="W27" s="14">
        <v>2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688</v>
      </c>
      <c r="V28" s="37" t="s">
        <v>56</v>
      </c>
      <c r="W28" s="14">
        <v>10</v>
      </c>
      <c r="X28" s="14" t="s">
        <v>60</v>
      </c>
      <c r="Y28" s="14" t="s">
        <v>58</v>
      </c>
    </row>
    <row r="29" spans="1:27" x14ac:dyDescent="0.15">
      <c r="A29" s="11">
        <f t="shared" si="0"/>
        <v>25</v>
      </c>
      <c r="E29" s="11" t="s">
        <v>315</v>
      </c>
      <c r="V29" s="37" t="s">
        <v>80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316</v>
      </c>
      <c r="V30" s="37" t="s">
        <v>80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167</v>
      </c>
      <c r="V31" s="37" t="s">
        <v>56</v>
      </c>
      <c r="W31" s="14">
        <v>50</v>
      </c>
      <c r="X31" s="14" t="s">
        <v>60</v>
      </c>
      <c r="Y31" s="14" t="s">
        <v>58</v>
      </c>
    </row>
    <row r="32" spans="1:27" x14ac:dyDescent="0.15">
      <c r="A32" s="11">
        <f t="shared" si="0"/>
        <v>28</v>
      </c>
      <c r="E32" s="11" t="s">
        <v>689</v>
      </c>
      <c r="V32" s="37" t="s">
        <v>89</v>
      </c>
      <c r="X32" s="14" t="s">
        <v>60</v>
      </c>
      <c r="Y32" s="14" t="s">
        <v>64</v>
      </c>
    </row>
    <row r="33" spans="1:25" x14ac:dyDescent="0.15">
      <c r="A33" s="11">
        <f t="shared" si="0"/>
        <v>29</v>
      </c>
      <c r="E33" s="11" t="s">
        <v>293</v>
      </c>
      <c r="V33" s="37" t="s">
        <v>80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E34" s="11" t="s">
        <v>690</v>
      </c>
      <c r="V34" s="37" t="s">
        <v>238</v>
      </c>
      <c r="X34" s="14" t="s">
        <v>60</v>
      </c>
      <c r="Y34" s="14" t="s">
        <v>64</v>
      </c>
    </row>
    <row r="35" spans="1:25" x14ac:dyDescent="0.15">
      <c r="A35" s="11">
        <f t="shared" si="0"/>
        <v>31</v>
      </c>
      <c r="E35" s="11" t="s">
        <v>691</v>
      </c>
      <c r="V35" s="37" t="s">
        <v>238</v>
      </c>
      <c r="X35" s="14" t="s">
        <v>60</v>
      </c>
      <c r="Y35" s="14" t="s">
        <v>64</v>
      </c>
    </row>
    <row r="36" spans="1:25" x14ac:dyDescent="0.15">
      <c r="A36" s="11">
        <f t="shared" si="0"/>
        <v>32</v>
      </c>
      <c r="E36" s="11" t="s">
        <v>692</v>
      </c>
      <c r="V36" s="37" t="s">
        <v>56</v>
      </c>
      <c r="W36" s="14">
        <v>255</v>
      </c>
      <c r="X36" s="14" t="s">
        <v>60</v>
      </c>
      <c r="Y36" s="14" t="s">
        <v>58</v>
      </c>
    </row>
    <row r="37" spans="1:25" x14ac:dyDescent="0.15">
      <c r="A37" s="11">
        <f t="shared" si="0"/>
        <v>33</v>
      </c>
      <c r="E37" s="11" t="s">
        <v>693</v>
      </c>
      <c r="V37" s="37" t="s">
        <v>56</v>
      </c>
      <c r="W37" s="14">
        <v>50</v>
      </c>
      <c r="X37" s="14" t="s">
        <v>60</v>
      </c>
      <c r="Y37" s="14" t="s">
        <v>58</v>
      </c>
    </row>
    <row r="38" spans="1:25" x14ac:dyDescent="0.15">
      <c r="A38" s="11">
        <f t="shared" si="0"/>
        <v>34</v>
      </c>
      <c r="E38" s="11" t="s">
        <v>694</v>
      </c>
      <c r="V38" s="37" t="s">
        <v>56</v>
      </c>
      <c r="W38" s="14">
        <v>15</v>
      </c>
      <c r="X38" s="14" t="s">
        <v>60</v>
      </c>
      <c r="Y38" s="14" t="s">
        <v>58</v>
      </c>
    </row>
    <row r="39" spans="1:25" x14ac:dyDescent="0.15">
      <c r="A39" s="11">
        <f t="shared" si="0"/>
        <v>35</v>
      </c>
      <c r="E39" s="11" t="s">
        <v>695</v>
      </c>
      <c r="V39" s="37" t="s">
        <v>56</v>
      </c>
      <c r="W39" s="14">
        <v>255</v>
      </c>
      <c r="X39" s="14" t="s">
        <v>60</v>
      </c>
      <c r="Y39" s="14" t="s">
        <v>58</v>
      </c>
    </row>
    <row r="40" spans="1:25" x14ac:dyDescent="0.15">
      <c r="A40" s="11">
        <f t="shared" si="0"/>
        <v>36</v>
      </c>
      <c r="E40" s="11" t="s">
        <v>98</v>
      </c>
      <c r="V40" s="37" t="s">
        <v>63</v>
      </c>
      <c r="X40" s="14" t="s">
        <v>64</v>
      </c>
      <c r="Y40" s="14" t="s">
        <v>64</v>
      </c>
    </row>
    <row r="41" spans="1:25" x14ac:dyDescent="0.15">
      <c r="A41" s="11">
        <f t="shared" si="0"/>
        <v>37</v>
      </c>
      <c r="E41" s="11" t="s">
        <v>86</v>
      </c>
      <c r="V41" s="37" t="s">
        <v>63</v>
      </c>
      <c r="X41" s="14" t="s">
        <v>64</v>
      </c>
      <c r="Y41" s="14" t="s">
        <v>64</v>
      </c>
    </row>
    <row r="42" spans="1:25" x14ac:dyDescent="0.15">
      <c r="A42" s="11">
        <f t="shared" si="0"/>
        <v>38</v>
      </c>
      <c r="E42" s="11" t="s">
        <v>85</v>
      </c>
      <c r="V42" s="37" t="s">
        <v>63</v>
      </c>
      <c r="X42" s="14" t="s">
        <v>64</v>
      </c>
      <c r="Y42" s="14" t="s">
        <v>64</v>
      </c>
    </row>
    <row r="43" spans="1:25" x14ac:dyDescent="0.15">
      <c r="A43" s="11">
        <f t="shared" si="0"/>
        <v>39</v>
      </c>
      <c r="E43" s="11" t="s">
        <v>185</v>
      </c>
      <c r="V43" s="37" t="s">
        <v>56</v>
      </c>
      <c r="W43" s="14">
        <v>10</v>
      </c>
      <c r="X43" s="14" t="s">
        <v>60</v>
      </c>
      <c r="Y43" s="14" t="s">
        <v>58</v>
      </c>
    </row>
    <row r="44" spans="1:25" x14ac:dyDescent="0.15">
      <c r="A44" s="11">
        <f t="shared" si="0"/>
        <v>40</v>
      </c>
      <c r="E44" s="11" t="s">
        <v>696</v>
      </c>
      <c r="V44" s="37" t="s">
        <v>238</v>
      </c>
      <c r="X44" s="14" t="s">
        <v>60</v>
      </c>
      <c r="Y44" s="14" t="s">
        <v>64</v>
      </c>
    </row>
    <row r="45" spans="1:25" x14ac:dyDescent="0.15">
      <c r="A45" s="11">
        <f t="shared" si="0"/>
        <v>41</v>
      </c>
      <c r="E45" s="11" t="s">
        <v>697</v>
      </c>
      <c r="V45" s="37" t="s">
        <v>63</v>
      </c>
      <c r="X45" s="14" t="s">
        <v>64</v>
      </c>
      <c r="Y45" s="14" t="s">
        <v>64</v>
      </c>
    </row>
    <row r="46" spans="1:25" x14ac:dyDescent="0.15">
      <c r="A46" s="11">
        <f t="shared" si="0"/>
        <v>42</v>
      </c>
      <c r="E46" s="11" t="s">
        <v>229</v>
      </c>
      <c r="V46" s="37" t="s">
        <v>56</v>
      </c>
      <c r="W46" s="14">
        <v>100</v>
      </c>
      <c r="X46" s="14" t="s">
        <v>60</v>
      </c>
      <c r="Y46" s="14" t="s">
        <v>58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n" allowBlank="1" showInputMessage="1" showErrorMessage="1" sqref="W1:AA2 Z4:AA65536 C3:D9 B9 B1:B4 B10:D65536 C1:U1"/>
    <dataValidation type="list" allowBlank="1" showInputMessage="1" showErrorMessage="1" sqref="V4:V65536">
      <formula1>INDIRECT($AB$1,FALSE)</formula1>
    </dataValidation>
    <dataValidation type="list" allowBlank="1" showInputMessage="1" showErrorMessage="1" sqref="Y4:Y65536">
      <formula1>INDIRECT($AC$2,FALSE)</formula1>
    </dataValidation>
    <dataValidation type="list" imeMode="on" allowBlank="1" showInputMessage="1" showErrorMessage="1" sqref="X4:X65536">
      <formula1>INDIRECT($AC$1,FALSE)</formula1>
    </dataValidation>
    <dataValidation type="whole" imeMode="off" operator="greaterThanOrEqual" allowBlank="1" showInputMessage="1" showErrorMessage="1" sqref="F2:U65536 W3:W65536">
      <formula1>1</formula1>
    </dataValidation>
    <dataValidation imeMode="off" allowBlank="1" showInputMessage="1" showErrorMessage="1" sqref="E3:E65536 A1:A104857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/>
  <dimension ref="A1:AC55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43" customWidth="1"/>
    <col min="4" max="4" width="12.625" style="43" customWidth="1"/>
    <col min="5" max="5" width="13.125" style="11" customWidth="1"/>
    <col min="6" max="6" width="3.75" style="14" customWidth="1"/>
    <col min="7" max="21" width="2.625" style="14" customWidth="1"/>
    <col min="22" max="22" width="8.75" style="43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7" t="s">
        <v>3</v>
      </c>
      <c r="B1" s="68"/>
      <c r="C1" s="55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7"/>
      <c r="V1" s="61" t="s">
        <v>4</v>
      </c>
      <c r="W1" s="50"/>
      <c r="X1" s="50"/>
      <c r="Y1" s="50"/>
      <c r="Z1" s="50"/>
      <c r="AA1" s="50"/>
      <c r="AB1" s="1" t="str">
        <f>"設定!R2C1:R"&amp;COUNTA([1]設定!$A:$A)&amp;"C1"</f>
        <v>設定!R2C1:R12C1</v>
      </c>
      <c r="AC1" s="1" t="str">
        <f>"設定!R2C10:R"&amp;COUNTA([1]設定!$J:$J)&amp;"C10"</f>
        <v>設定!R2C10:R4C10</v>
      </c>
    </row>
    <row r="2" spans="1:29" s="2" customFormat="1" ht="11.25" customHeight="1" x14ac:dyDescent="0.15">
      <c r="A2" s="46" t="s">
        <v>49</v>
      </c>
      <c r="B2" s="47"/>
      <c r="C2" s="58" t="s">
        <v>699</v>
      </c>
      <c r="D2" s="59"/>
      <c r="E2" s="60"/>
      <c r="F2" s="63" t="s">
        <v>5</v>
      </c>
      <c r="G2" s="65" t="s">
        <v>47</v>
      </c>
      <c r="H2" s="65"/>
      <c r="I2" s="65"/>
      <c r="J2" s="65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2"/>
      <c r="W2" s="51"/>
      <c r="X2" s="51"/>
      <c r="Y2" s="51"/>
      <c r="Z2" s="51"/>
      <c r="AA2" s="51"/>
      <c r="AB2" s="1"/>
      <c r="AC2" s="1" t="str">
        <f>"設定!R2C13:R"&amp;COUNTA([1]設定!$M:$M)&amp;"C13"</f>
        <v>設定!R2C13:R4C13</v>
      </c>
    </row>
    <row r="3" spans="1:29" s="6" customFormat="1" ht="11.25" customHeight="1" x14ac:dyDescent="0.15">
      <c r="A3" s="40" t="s">
        <v>700</v>
      </c>
      <c r="B3" s="52" t="s">
        <v>0</v>
      </c>
      <c r="C3" s="53"/>
      <c r="D3" s="54"/>
      <c r="E3" s="39" t="s">
        <v>53</v>
      </c>
      <c r="F3" s="64"/>
      <c r="G3" s="41" t="s">
        <v>701</v>
      </c>
      <c r="H3" s="41" t="s">
        <v>7</v>
      </c>
      <c r="I3" s="41" t="s">
        <v>8</v>
      </c>
      <c r="J3" s="41" t="s">
        <v>9</v>
      </c>
      <c r="K3" s="41" t="s">
        <v>702</v>
      </c>
      <c r="L3" s="41">
        <v>6</v>
      </c>
      <c r="M3" s="41">
        <v>7</v>
      </c>
      <c r="N3" s="41">
        <v>8</v>
      </c>
      <c r="O3" s="41">
        <v>9</v>
      </c>
      <c r="P3" s="41">
        <v>10</v>
      </c>
      <c r="Q3" s="41">
        <v>11</v>
      </c>
      <c r="R3" s="41">
        <v>12</v>
      </c>
      <c r="S3" s="41">
        <v>13</v>
      </c>
      <c r="T3" s="41">
        <v>14</v>
      </c>
      <c r="U3" s="41">
        <v>15</v>
      </c>
      <c r="V3" s="41" t="s">
        <v>1</v>
      </c>
      <c r="W3" s="41" t="s">
        <v>17</v>
      </c>
      <c r="X3" s="41" t="s">
        <v>18</v>
      </c>
      <c r="Y3" s="41" t="s">
        <v>19</v>
      </c>
      <c r="Z3" s="48" t="s">
        <v>2</v>
      </c>
      <c r="AA3" s="49"/>
    </row>
    <row r="4" spans="1:29" s="11" customFormat="1" ht="11.25" customHeight="1" x14ac:dyDescent="0.15">
      <c r="A4" s="7">
        <f t="shared" ref="A4:A55" si="0">ROW()-4</f>
        <v>0</v>
      </c>
      <c r="B4" s="24"/>
      <c r="C4" s="42"/>
      <c r="D4" s="42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42"/>
      <c r="C5" s="42"/>
      <c r="D5" s="42"/>
      <c r="E5" s="8" t="s">
        <v>77</v>
      </c>
      <c r="F5" s="9"/>
      <c r="G5" s="9"/>
      <c r="H5" s="9"/>
      <c r="I5" s="9">
        <v>1</v>
      </c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42"/>
      <c r="C6" s="42"/>
      <c r="D6" s="42"/>
      <c r="E6" s="8" t="s">
        <v>78</v>
      </c>
      <c r="F6" s="9"/>
      <c r="G6" s="9"/>
      <c r="H6" s="9"/>
      <c r="I6" s="9"/>
      <c r="J6" s="9">
        <v>1</v>
      </c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42"/>
      <c r="C7" s="42"/>
      <c r="D7" s="42"/>
      <c r="E7" s="8" t="s">
        <v>79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238</v>
      </c>
      <c r="W7" s="9"/>
      <c r="X7" s="9" t="s">
        <v>60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42"/>
      <c r="C8" s="42"/>
      <c r="D8" s="42"/>
      <c r="E8" s="8" t="s">
        <v>257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42"/>
      <c r="C9" s="42"/>
      <c r="D9" s="42"/>
      <c r="E9" s="8" t="s">
        <v>156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50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42"/>
      <c r="C10" s="42"/>
      <c r="D10" s="42"/>
      <c r="E10" s="8" t="s">
        <v>703</v>
      </c>
      <c r="F10" s="9"/>
      <c r="G10" s="9"/>
      <c r="H10" s="9">
        <v>1</v>
      </c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10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42"/>
      <c r="C11" s="42"/>
      <c r="D11" s="42"/>
      <c r="E11" s="8" t="s">
        <v>489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50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42"/>
      <c r="C12" s="42"/>
      <c r="D12" s="42"/>
      <c r="E12" s="8" t="s">
        <v>704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50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42"/>
      <c r="C13" s="42"/>
      <c r="D13" s="42"/>
      <c r="E13" s="8" t="s">
        <v>683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50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42"/>
      <c r="C14" s="43"/>
      <c r="D14" s="43"/>
      <c r="E14" s="11" t="s">
        <v>492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43" t="s">
        <v>238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42"/>
      <c r="C15" s="43"/>
      <c r="D15" s="43"/>
      <c r="E15" s="11" t="s">
        <v>659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43" t="s">
        <v>56</v>
      </c>
      <c r="W15" s="14">
        <v>50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42"/>
      <c r="C16" s="43"/>
      <c r="D16" s="43"/>
      <c r="E16" s="11" t="s">
        <v>493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43" t="s">
        <v>56</v>
      </c>
      <c r="W16" s="14">
        <v>50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43"/>
      <c r="C17" s="43"/>
      <c r="D17" s="43"/>
      <c r="E17" s="11" t="s">
        <v>128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43" t="s">
        <v>238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43"/>
      <c r="C18" s="43"/>
      <c r="D18" s="43"/>
      <c r="E18" s="11" t="s">
        <v>660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43" t="s">
        <v>72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43"/>
      <c r="C19" s="43"/>
      <c r="D19" s="43"/>
      <c r="E19" s="11" t="s">
        <v>226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43" t="s">
        <v>238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43"/>
      <c r="C20" s="43"/>
      <c r="D20" s="43"/>
      <c r="E20" s="11" t="s">
        <v>121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43" t="s">
        <v>238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43"/>
      <c r="C21" s="43"/>
      <c r="D21" s="43"/>
      <c r="E21" s="11" t="s">
        <v>95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43" t="s">
        <v>238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684</v>
      </c>
      <c r="V22" s="43" t="s">
        <v>56</v>
      </c>
      <c r="W22" s="14">
        <v>255</v>
      </c>
      <c r="X22" s="14" t="s">
        <v>60</v>
      </c>
      <c r="Y22" s="14" t="s">
        <v>58</v>
      </c>
    </row>
    <row r="23" spans="1:27" x14ac:dyDescent="0.15">
      <c r="A23" s="11">
        <f t="shared" si="0"/>
        <v>19</v>
      </c>
      <c r="E23" s="11" t="s">
        <v>705</v>
      </c>
      <c r="V23" s="17" t="s">
        <v>56</v>
      </c>
      <c r="W23" s="14">
        <v>255</v>
      </c>
      <c r="X23" s="14" t="s">
        <v>60</v>
      </c>
      <c r="Y23" s="14" t="s">
        <v>58</v>
      </c>
    </row>
    <row r="24" spans="1:27" x14ac:dyDescent="0.15">
      <c r="A24" s="11">
        <f t="shared" si="0"/>
        <v>20</v>
      </c>
      <c r="E24" s="11" t="s">
        <v>312</v>
      </c>
      <c r="V24" s="43" t="s">
        <v>56</v>
      </c>
      <c r="W24" s="14">
        <v>255</v>
      </c>
      <c r="X24" s="14" t="s">
        <v>60</v>
      </c>
      <c r="Y24" s="14" t="s">
        <v>58</v>
      </c>
    </row>
    <row r="25" spans="1:27" x14ac:dyDescent="0.15">
      <c r="A25" s="11">
        <f t="shared" si="0"/>
        <v>21</v>
      </c>
      <c r="E25" s="11" t="s">
        <v>685</v>
      </c>
      <c r="V25" s="43" t="s">
        <v>56</v>
      </c>
      <c r="W25" s="14">
        <v>255</v>
      </c>
      <c r="X25" s="14" t="s">
        <v>60</v>
      </c>
      <c r="Y25" s="14" t="s">
        <v>58</v>
      </c>
    </row>
    <row r="26" spans="1:27" x14ac:dyDescent="0.15">
      <c r="A26" s="11">
        <f t="shared" si="0"/>
        <v>22</v>
      </c>
      <c r="E26" s="11" t="s">
        <v>686</v>
      </c>
      <c r="V26" s="43" t="s">
        <v>56</v>
      </c>
      <c r="W26" s="14">
        <v>255</v>
      </c>
      <c r="X26" s="14" t="s">
        <v>60</v>
      </c>
      <c r="Y26" s="14" t="s">
        <v>58</v>
      </c>
    </row>
    <row r="27" spans="1:27" x14ac:dyDescent="0.15">
      <c r="A27" s="11">
        <f t="shared" si="0"/>
        <v>23</v>
      </c>
      <c r="E27" s="11" t="s">
        <v>687</v>
      </c>
      <c r="V27" s="43" t="s">
        <v>56</v>
      </c>
      <c r="W27" s="14">
        <v>255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688</v>
      </c>
      <c r="V28" s="43" t="s">
        <v>56</v>
      </c>
      <c r="W28" s="14">
        <v>255</v>
      </c>
      <c r="X28" s="14" t="s">
        <v>60</v>
      </c>
      <c r="Y28" s="14" t="s">
        <v>58</v>
      </c>
    </row>
    <row r="29" spans="1:27" x14ac:dyDescent="0.15">
      <c r="A29" s="11">
        <f t="shared" si="0"/>
        <v>25</v>
      </c>
      <c r="E29" s="11" t="s">
        <v>315</v>
      </c>
      <c r="V29" s="43" t="s">
        <v>72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316</v>
      </c>
      <c r="V30" s="43" t="s">
        <v>72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167</v>
      </c>
      <c r="V31" s="43" t="s">
        <v>56</v>
      </c>
      <c r="W31" s="14">
        <v>255</v>
      </c>
      <c r="X31" s="14" t="s">
        <v>60</v>
      </c>
      <c r="Y31" s="14" t="s">
        <v>58</v>
      </c>
    </row>
    <row r="32" spans="1:27" x14ac:dyDescent="0.15">
      <c r="A32" s="11">
        <f t="shared" si="0"/>
        <v>28</v>
      </c>
      <c r="E32" s="11" t="s">
        <v>689</v>
      </c>
      <c r="V32" s="43" t="s">
        <v>72</v>
      </c>
      <c r="X32" s="14" t="s">
        <v>60</v>
      </c>
      <c r="Y32" s="14" t="s">
        <v>64</v>
      </c>
    </row>
    <row r="33" spans="1:25" x14ac:dyDescent="0.15">
      <c r="A33" s="11">
        <f t="shared" si="0"/>
        <v>29</v>
      </c>
      <c r="E33" s="11" t="s">
        <v>293</v>
      </c>
      <c r="V33" s="43" t="s">
        <v>72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E34" s="11" t="s">
        <v>706</v>
      </c>
      <c r="V34" s="43" t="s">
        <v>56</v>
      </c>
      <c r="W34" s="14">
        <v>255</v>
      </c>
      <c r="X34" s="14" t="s">
        <v>60</v>
      </c>
      <c r="Y34" s="14" t="s">
        <v>58</v>
      </c>
    </row>
    <row r="35" spans="1:25" x14ac:dyDescent="0.15">
      <c r="A35" s="11">
        <f t="shared" si="0"/>
        <v>31</v>
      </c>
      <c r="E35" s="11" t="s">
        <v>707</v>
      </c>
      <c r="V35" s="43" t="s">
        <v>56</v>
      </c>
      <c r="W35" s="14">
        <v>255</v>
      </c>
      <c r="X35" s="14" t="s">
        <v>60</v>
      </c>
      <c r="Y35" s="14" t="s">
        <v>58</v>
      </c>
    </row>
    <row r="36" spans="1:25" x14ac:dyDescent="0.15">
      <c r="A36" s="11">
        <f t="shared" si="0"/>
        <v>32</v>
      </c>
      <c r="E36" s="11" t="s">
        <v>708</v>
      </c>
      <c r="V36" s="43" t="s">
        <v>56</v>
      </c>
      <c r="W36" s="14">
        <v>255</v>
      </c>
      <c r="X36" s="14" t="s">
        <v>60</v>
      </c>
      <c r="Y36" s="14" t="s">
        <v>58</v>
      </c>
    </row>
    <row r="37" spans="1:25" x14ac:dyDescent="0.15">
      <c r="A37" s="11">
        <f t="shared" si="0"/>
        <v>33</v>
      </c>
      <c r="E37" s="11" t="s">
        <v>709</v>
      </c>
      <c r="V37" s="43" t="s">
        <v>56</v>
      </c>
      <c r="W37" s="14">
        <v>255</v>
      </c>
      <c r="X37" s="14" t="s">
        <v>60</v>
      </c>
      <c r="Y37" s="14" t="s">
        <v>58</v>
      </c>
    </row>
    <row r="38" spans="1:25" x14ac:dyDescent="0.15">
      <c r="A38" s="11">
        <f t="shared" si="0"/>
        <v>34</v>
      </c>
      <c r="E38" s="11" t="s">
        <v>710</v>
      </c>
      <c r="V38" s="43" t="s">
        <v>56</v>
      </c>
      <c r="W38" s="14">
        <v>255</v>
      </c>
      <c r="X38" s="14" t="s">
        <v>60</v>
      </c>
      <c r="Y38" s="14" t="s">
        <v>58</v>
      </c>
    </row>
    <row r="39" spans="1:25" x14ac:dyDescent="0.15">
      <c r="A39" s="11">
        <f t="shared" si="0"/>
        <v>35</v>
      </c>
      <c r="E39" s="11" t="s">
        <v>695</v>
      </c>
      <c r="V39" s="43" t="s">
        <v>56</v>
      </c>
      <c r="W39" s="14">
        <v>255</v>
      </c>
      <c r="X39" s="14" t="s">
        <v>60</v>
      </c>
      <c r="Y39" s="14" t="s">
        <v>58</v>
      </c>
    </row>
    <row r="40" spans="1:25" x14ac:dyDescent="0.15">
      <c r="A40" s="11">
        <f t="shared" si="0"/>
        <v>36</v>
      </c>
      <c r="E40" s="11" t="s">
        <v>98</v>
      </c>
      <c r="V40" s="43" t="s">
        <v>56</v>
      </c>
      <c r="W40" s="14">
        <v>255</v>
      </c>
      <c r="X40" s="14" t="s">
        <v>60</v>
      </c>
      <c r="Y40" s="14" t="s">
        <v>58</v>
      </c>
    </row>
    <row r="41" spans="1:25" x14ac:dyDescent="0.15">
      <c r="A41" s="11">
        <f t="shared" si="0"/>
        <v>37</v>
      </c>
      <c r="E41" s="11" t="s">
        <v>86</v>
      </c>
      <c r="V41" s="43" t="s">
        <v>56</v>
      </c>
      <c r="W41" s="14">
        <v>255</v>
      </c>
      <c r="X41" s="14" t="s">
        <v>60</v>
      </c>
      <c r="Y41" s="14" t="s">
        <v>58</v>
      </c>
    </row>
    <row r="42" spans="1:25" x14ac:dyDescent="0.15">
      <c r="A42" s="11">
        <f t="shared" si="0"/>
        <v>38</v>
      </c>
      <c r="E42" s="11" t="s">
        <v>85</v>
      </c>
      <c r="V42" s="43" t="s">
        <v>56</v>
      </c>
      <c r="W42" s="14">
        <v>255</v>
      </c>
      <c r="X42" s="14" t="s">
        <v>60</v>
      </c>
      <c r="Y42" s="14" t="s">
        <v>58</v>
      </c>
    </row>
    <row r="43" spans="1:25" x14ac:dyDescent="0.15">
      <c r="A43" s="11">
        <f t="shared" si="0"/>
        <v>39</v>
      </c>
      <c r="E43" s="11" t="s">
        <v>185</v>
      </c>
      <c r="V43" s="43" t="s">
        <v>56</v>
      </c>
      <c r="W43" s="14">
        <v>255</v>
      </c>
      <c r="X43" s="14" t="s">
        <v>60</v>
      </c>
      <c r="Y43" s="14" t="s">
        <v>58</v>
      </c>
    </row>
    <row r="44" spans="1:25" x14ac:dyDescent="0.15">
      <c r="A44" s="11">
        <f t="shared" si="0"/>
        <v>40</v>
      </c>
      <c r="E44" s="11" t="s">
        <v>696</v>
      </c>
      <c r="V44" s="43" t="s">
        <v>56</v>
      </c>
      <c r="W44" s="14">
        <v>255</v>
      </c>
      <c r="X44" s="14" t="s">
        <v>60</v>
      </c>
      <c r="Y44" s="14" t="s">
        <v>58</v>
      </c>
    </row>
    <row r="45" spans="1:25" x14ac:dyDescent="0.15">
      <c r="A45" s="11">
        <f t="shared" si="0"/>
        <v>41</v>
      </c>
      <c r="E45" s="11" t="s">
        <v>697</v>
      </c>
      <c r="V45" s="43" t="s">
        <v>56</v>
      </c>
      <c r="W45" s="14">
        <v>255</v>
      </c>
      <c r="X45" s="14" t="s">
        <v>60</v>
      </c>
      <c r="Y45" s="14" t="s">
        <v>58</v>
      </c>
    </row>
    <row r="46" spans="1:25" x14ac:dyDescent="0.15">
      <c r="A46" s="11">
        <f t="shared" si="0"/>
        <v>42</v>
      </c>
      <c r="E46" s="11" t="s">
        <v>661</v>
      </c>
      <c r="V46" s="43" t="s">
        <v>72</v>
      </c>
      <c r="X46" s="14" t="s">
        <v>60</v>
      </c>
      <c r="Y46" s="14" t="s">
        <v>64</v>
      </c>
    </row>
    <row r="47" spans="1:25" x14ac:dyDescent="0.15">
      <c r="A47" s="11">
        <f t="shared" si="0"/>
        <v>43</v>
      </c>
      <c r="E47" s="11" t="s">
        <v>711</v>
      </c>
      <c r="V47" s="43" t="s">
        <v>56</v>
      </c>
      <c r="W47" s="14">
        <v>255</v>
      </c>
      <c r="X47" s="14" t="s">
        <v>60</v>
      </c>
      <c r="Y47" s="14" t="s">
        <v>58</v>
      </c>
    </row>
    <row r="48" spans="1:25" x14ac:dyDescent="0.15">
      <c r="A48" s="11">
        <f t="shared" si="0"/>
        <v>44</v>
      </c>
      <c r="E48" s="11" t="s">
        <v>712</v>
      </c>
      <c r="V48" s="43" t="s">
        <v>56</v>
      </c>
      <c r="W48" s="14">
        <v>255</v>
      </c>
      <c r="X48" s="14" t="s">
        <v>60</v>
      </c>
      <c r="Y48" s="14" t="s">
        <v>58</v>
      </c>
    </row>
    <row r="49" spans="1:25" x14ac:dyDescent="0.15">
      <c r="A49" s="11">
        <f t="shared" si="0"/>
        <v>45</v>
      </c>
      <c r="E49" s="11" t="s">
        <v>713</v>
      </c>
      <c r="V49" s="43" t="s">
        <v>56</v>
      </c>
      <c r="W49" s="14">
        <v>255</v>
      </c>
      <c r="X49" s="14" t="s">
        <v>60</v>
      </c>
      <c r="Y49" s="14" t="s">
        <v>58</v>
      </c>
    </row>
    <row r="50" spans="1:25" x14ac:dyDescent="0.15">
      <c r="A50" s="11">
        <f t="shared" si="0"/>
        <v>46</v>
      </c>
      <c r="E50" s="11" t="s">
        <v>714</v>
      </c>
      <c r="V50" s="43" t="s">
        <v>56</v>
      </c>
      <c r="W50" s="14">
        <v>255</v>
      </c>
      <c r="X50" s="14" t="s">
        <v>60</v>
      </c>
      <c r="Y50" s="14" t="s">
        <v>58</v>
      </c>
    </row>
    <row r="51" spans="1:25" x14ac:dyDescent="0.15">
      <c r="A51" s="11">
        <f t="shared" si="0"/>
        <v>47</v>
      </c>
      <c r="E51" s="11" t="s">
        <v>715</v>
      </c>
      <c r="V51" s="43" t="s">
        <v>56</v>
      </c>
      <c r="W51" s="14">
        <v>255</v>
      </c>
      <c r="X51" s="14" t="s">
        <v>60</v>
      </c>
      <c r="Y51" s="14" t="s">
        <v>58</v>
      </c>
    </row>
    <row r="52" spans="1:25" x14ac:dyDescent="0.15">
      <c r="A52" s="11">
        <f t="shared" si="0"/>
        <v>48</v>
      </c>
      <c r="E52" s="11" t="s">
        <v>716</v>
      </c>
      <c r="V52" s="43" t="s">
        <v>56</v>
      </c>
      <c r="W52" s="14">
        <v>255</v>
      </c>
      <c r="X52" s="14" t="s">
        <v>60</v>
      </c>
      <c r="Y52" s="14" t="s">
        <v>58</v>
      </c>
    </row>
    <row r="53" spans="1:25" x14ac:dyDescent="0.15">
      <c r="A53" s="11">
        <f t="shared" si="0"/>
        <v>49</v>
      </c>
      <c r="E53" s="11" t="s">
        <v>717</v>
      </c>
      <c r="V53" s="43" t="s">
        <v>63</v>
      </c>
      <c r="X53" s="14" t="s">
        <v>64</v>
      </c>
      <c r="Y53" s="14" t="s">
        <v>64</v>
      </c>
    </row>
    <row r="54" spans="1:25" x14ac:dyDescent="0.15">
      <c r="A54" s="11">
        <f t="shared" si="0"/>
        <v>50</v>
      </c>
      <c r="E54" s="11" t="s">
        <v>718</v>
      </c>
      <c r="V54" s="43" t="s">
        <v>56</v>
      </c>
      <c r="W54" s="14">
        <v>255</v>
      </c>
      <c r="X54" s="14" t="s">
        <v>60</v>
      </c>
      <c r="Y54" s="14" t="s">
        <v>58</v>
      </c>
    </row>
    <row r="55" spans="1:25" x14ac:dyDescent="0.15">
      <c r="A55" s="11">
        <f t="shared" si="0"/>
        <v>51</v>
      </c>
      <c r="E55" s="11" t="s">
        <v>719</v>
      </c>
      <c r="V55" s="43" t="s">
        <v>56</v>
      </c>
      <c r="W55" s="14">
        <v>255</v>
      </c>
      <c r="X55" s="14" t="s">
        <v>60</v>
      </c>
      <c r="Y55" s="14" t="s">
        <v>58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n" allowBlank="1" showInputMessage="1" showErrorMessage="1" sqref="W1:AA2 Z4:AA65536 C3:D9 B9 B1:B4 B10:D65536 C1:U1"/>
    <dataValidation type="list" allowBlank="1" showInputMessage="1" showErrorMessage="1" sqref="V4:V65536">
      <formula1>INDIRECT($AB$1,FALSE)</formula1>
    </dataValidation>
    <dataValidation type="list" allowBlank="1" showInputMessage="1" showErrorMessage="1" sqref="Y4:Y65536">
      <formula1>INDIRECT($AC$2,FALSE)</formula1>
    </dataValidation>
    <dataValidation type="list" imeMode="on" allowBlank="1" showInputMessage="1" showErrorMessage="1" sqref="X4:X65536">
      <formula1>INDIRECT($AC$1,FALSE)</formula1>
    </dataValidation>
    <dataValidation type="whole" imeMode="off" operator="greaterThanOrEqual" allowBlank="1" showInputMessage="1" showErrorMessage="1" sqref="W3:W65536 F2:U65536">
      <formula1>1</formula1>
    </dataValidation>
    <dataValidation imeMode="off" allowBlank="1" showInputMessage="1" showErrorMessage="1" sqref="A1:A1048576 E3:E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43" customWidth="1"/>
    <col min="4" max="4" width="12.625" style="43" customWidth="1"/>
    <col min="5" max="5" width="13.125" style="11" customWidth="1"/>
    <col min="6" max="6" width="3.75" style="14" customWidth="1"/>
    <col min="7" max="21" width="2.625" style="14" customWidth="1"/>
    <col min="22" max="22" width="8.75" style="43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67" t="s">
        <v>3</v>
      </c>
      <c r="B1" s="68"/>
      <c r="C1" s="55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7"/>
      <c r="V1" s="61" t="s">
        <v>4</v>
      </c>
      <c r="W1" s="50"/>
      <c r="X1" s="50"/>
      <c r="Y1" s="50"/>
      <c r="Z1" s="50"/>
      <c r="AA1" s="50"/>
      <c r="AB1" s="1" t="str">
        <f>"設定!R2C1:R"&amp;COUNTA([1]設定!$A:$A)&amp;"C1"</f>
        <v>設定!R2C1:R12C1</v>
      </c>
      <c r="AC1" s="1" t="str">
        <f>"設定!R2C10:R"&amp;COUNTA([1]設定!$J:$J)&amp;"C10"</f>
        <v>設定!R2C10:R4C10</v>
      </c>
    </row>
    <row r="2" spans="1:29" s="2" customFormat="1" ht="11.25" customHeight="1" x14ac:dyDescent="0.15">
      <c r="A2" s="46" t="s">
        <v>49</v>
      </c>
      <c r="B2" s="47"/>
      <c r="C2" s="58" t="s">
        <v>722</v>
      </c>
      <c r="D2" s="59"/>
      <c r="E2" s="60"/>
      <c r="F2" s="63" t="s">
        <v>5</v>
      </c>
      <c r="G2" s="65" t="s">
        <v>47</v>
      </c>
      <c r="H2" s="65"/>
      <c r="I2" s="65"/>
      <c r="J2" s="65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2"/>
      <c r="W2" s="51"/>
      <c r="X2" s="51"/>
      <c r="Y2" s="51"/>
      <c r="Z2" s="51"/>
      <c r="AA2" s="51"/>
      <c r="AB2" s="1"/>
      <c r="AC2" s="1" t="str">
        <f>"設定!R2C13:R"&amp;COUNTA([1]設定!$M:$M)&amp;"C13"</f>
        <v>設定!R2C13:R4C13</v>
      </c>
    </row>
    <row r="3" spans="1:29" s="6" customFormat="1" ht="11.25" customHeight="1" x14ac:dyDescent="0.15">
      <c r="A3" s="40" t="s">
        <v>48</v>
      </c>
      <c r="B3" s="52" t="s">
        <v>0</v>
      </c>
      <c r="C3" s="53"/>
      <c r="D3" s="54"/>
      <c r="E3" s="39" t="s">
        <v>53</v>
      </c>
      <c r="F3" s="64"/>
      <c r="G3" s="41" t="s">
        <v>6</v>
      </c>
      <c r="H3" s="41" t="s">
        <v>7</v>
      </c>
      <c r="I3" s="41" t="s">
        <v>8</v>
      </c>
      <c r="J3" s="41" t="s">
        <v>9</v>
      </c>
      <c r="K3" s="41" t="s">
        <v>702</v>
      </c>
      <c r="L3" s="41">
        <v>6</v>
      </c>
      <c r="M3" s="41">
        <v>7</v>
      </c>
      <c r="N3" s="41">
        <v>8</v>
      </c>
      <c r="O3" s="41">
        <v>9</v>
      </c>
      <c r="P3" s="41">
        <v>10</v>
      </c>
      <c r="Q3" s="41">
        <v>11</v>
      </c>
      <c r="R3" s="41">
        <v>12</v>
      </c>
      <c r="S3" s="41">
        <v>13</v>
      </c>
      <c r="T3" s="41">
        <v>14</v>
      </c>
      <c r="U3" s="41">
        <v>15</v>
      </c>
      <c r="V3" s="41" t="s">
        <v>1</v>
      </c>
      <c r="W3" s="41" t="s">
        <v>17</v>
      </c>
      <c r="X3" s="41" t="s">
        <v>18</v>
      </c>
      <c r="Y3" s="41" t="s">
        <v>19</v>
      </c>
      <c r="Z3" s="48" t="s">
        <v>2</v>
      </c>
      <c r="AA3" s="49"/>
    </row>
    <row r="4" spans="1:29" s="11" customFormat="1" ht="11.25" customHeight="1" x14ac:dyDescent="0.15">
      <c r="A4" s="7">
        <f t="shared" ref="A4:A20" si="0">ROW()-4</f>
        <v>0</v>
      </c>
      <c r="B4" s="24"/>
      <c r="C4" s="42"/>
      <c r="D4" s="42"/>
      <c r="E4" s="8" t="s">
        <v>76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42"/>
      <c r="C5" s="42"/>
      <c r="D5" s="42"/>
      <c r="E5" s="8" t="s">
        <v>77</v>
      </c>
      <c r="F5" s="9">
        <v>2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42"/>
      <c r="C6" s="42"/>
      <c r="D6" s="42"/>
      <c r="E6" s="8" t="s">
        <v>78</v>
      </c>
      <c r="F6" s="9">
        <v>3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42"/>
      <c r="C7" s="42"/>
      <c r="D7" s="42"/>
      <c r="E7" s="8" t="s">
        <v>79</v>
      </c>
      <c r="F7" s="9">
        <v>4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80</v>
      </c>
      <c r="W7" s="9"/>
      <c r="X7" s="9" t="s">
        <v>57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42"/>
      <c r="C8" s="42"/>
      <c r="D8" s="42"/>
      <c r="E8" s="8" t="s">
        <v>121</v>
      </c>
      <c r="F8" s="9">
        <v>5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238</v>
      </c>
      <c r="W8" s="9"/>
      <c r="X8" s="9" t="s">
        <v>57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42"/>
      <c r="C9" s="42"/>
      <c r="D9" s="42"/>
      <c r="E9" s="8" t="s">
        <v>95</v>
      </c>
      <c r="F9" s="9">
        <v>6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238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42"/>
      <c r="C10" s="42"/>
      <c r="D10" s="42"/>
      <c r="E10" s="8" t="s">
        <v>721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238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42"/>
      <c r="C11" s="42"/>
      <c r="D11" s="42"/>
      <c r="E11" s="8" t="s">
        <v>489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50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42"/>
      <c r="C12" s="42"/>
      <c r="D12" s="42"/>
      <c r="E12" s="8" t="s">
        <v>703</v>
      </c>
      <c r="F12" s="9">
        <v>7</v>
      </c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</v>
      </c>
      <c r="X12" s="9" t="s">
        <v>57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42"/>
      <c r="C13" s="42"/>
      <c r="D13" s="42"/>
      <c r="E13" s="8" t="s">
        <v>227</v>
      </c>
      <c r="F13" s="9">
        <v>8</v>
      </c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50</v>
      </c>
      <c r="X13" s="9" t="s">
        <v>57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42"/>
      <c r="C14" s="43"/>
      <c r="D14" s="43"/>
      <c r="E14" s="11" t="s">
        <v>720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43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42"/>
      <c r="C15" s="43"/>
      <c r="D15" s="43"/>
      <c r="E15" s="11" t="s">
        <v>492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43" t="s">
        <v>238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42"/>
      <c r="C16" s="43"/>
      <c r="D16" s="43"/>
      <c r="E16" s="11" t="s">
        <v>659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43" t="s">
        <v>56</v>
      </c>
      <c r="W16" s="14">
        <v>50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43"/>
      <c r="C17" s="43"/>
      <c r="D17" s="43"/>
      <c r="E17" s="11" t="s">
        <v>133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43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43"/>
      <c r="C18" s="43"/>
      <c r="D18" s="43"/>
      <c r="E18" s="11" t="s">
        <v>62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43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43"/>
      <c r="C19" s="43"/>
      <c r="D19" s="43"/>
      <c r="E19" s="11" t="s">
        <v>134</v>
      </c>
      <c r="F19" s="14"/>
      <c r="G19" s="14">
        <v>1</v>
      </c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43" t="s">
        <v>56</v>
      </c>
      <c r="W19" s="14">
        <v>15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43"/>
      <c r="C20" s="43"/>
      <c r="D20" s="43"/>
      <c r="E20" s="11" t="s">
        <v>135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43" t="s">
        <v>56</v>
      </c>
      <c r="W20" s="14">
        <v>30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B21" s="43"/>
      <c r="C21" s="43"/>
      <c r="D21" s="43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43"/>
      <c r="W21" s="14"/>
      <c r="X21" s="14"/>
      <c r="Y21" s="14"/>
      <c r="Z21" s="15"/>
      <c r="AA21" s="15"/>
    </row>
    <row r="23" spans="1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n" allowBlank="1" showInputMessage="1" showErrorMessage="1" sqref="W1:AA2 Z4:AA65536 C3:D9 B9 B1:B4 B10:D65536 C1:U1"/>
    <dataValidation type="list" allowBlank="1" showInputMessage="1" showErrorMessage="1" sqref="V4:V65536">
      <formula1>INDIRECT($AB$1,FALSE)</formula1>
    </dataValidation>
    <dataValidation type="list" allowBlank="1" showInputMessage="1" showErrorMessage="1" sqref="Y4:Y65536">
      <formula1>INDIRECT($AC$2,FALSE)</formula1>
    </dataValidation>
    <dataValidation type="list" imeMode="on" allowBlank="1" showInputMessage="1" showErrorMessage="1" sqref="X4:X65536">
      <formula1>INDIRECT($AC$1,FALSE)</formula1>
    </dataValidation>
    <dataValidation type="whole" imeMode="off" operator="greaterThanOrEqual" allowBlank="1" showInputMessage="1" showErrorMessage="1" sqref="W3:W65536 F2:U65536">
      <formula1>1</formula1>
    </dataValidation>
    <dataValidation imeMode="off" allowBlank="1" showInputMessage="1" showErrorMessage="1" sqref="A1:A1048576 E3:E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37</vt:i4>
      </vt:variant>
      <vt:variant>
        <vt:lpstr>名前付き一覧</vt:lpstr>
      </vt:variant>
      <vt:variant>
        <vt:i4>72</vt:i4>
      </vt:variant>
    </vt:vector>
  </HeadingPairs>
  <TitlesOfParts>
    <vt:vector size="109" baseType="lpstr">
      <vt:lpstr>設定</vt:lpstr>
      <vt:lpstr>原紙</vt:lpstr>
      <vt:lpstr>T_Version管理</vt:lpstr>
      <vt:lpstr>WK_Calendar_業務</vt:lpstr>
      <vt:lpstr>WK_Calendar_工場</vt:lpstr>
      <vt:lpstr>WK_Status</vt:lpstr>
      <vt:lpstr>WK_SxL品番読替表</vt:lpstr>
      <vt:lpstr>WK_チェックリスト</vt:lpstr>
      <vt:lpstr>WK_工程表データ</vt:lpstr>
      <vt:lpstr>WK_札データ</vt:lpstr>
      <vt:lpstr>WK_札データ_集計</vt:lpstr>
      <vt:lpstr>WK_札データ_備考</vt:lpstr>
      <vt:lpstr>WK_札台帳データ</vt:lpstr>
      <vt:lpstr>WK_上枠下地グループ集計</vt:lpstr>
      <vt:lpstr>WK_製造指示</vt:lpstr>
      <vt:lpstr>WK_製造指示_Clone</vt:lpstr>
      <vt:lpstr>WK_製造日別集計データ</vt:lpstr>
      <vt:lpstr>WK_対象日付</vt:lpstr>
      <vt:lpstr>WK_台帳集計データ</vt:lpstr>
      <vt:lpstr>WK_追加製造</vt:lpstr>
      <vt:lpstr>WK_枠出荷表</vt:lpstr>
      <vt:lpstr>WK_框材使用数</vt:lpstr>
      <vt:lpstr>WK_契約番号</vt:lpstr>
      <vt:lpstr>WK_フルハイトライン製造数邸別</vt:lpstr>
      <vt:lpstr>WK_FullHeightライン指示</vt:lpstr>
      <vt:lpstr>T_出力レポート</vt:lpstr>
      <vt:lpstr>WK_ラベル</vt:lpstr>
      <vt:lpstr>WK_縁張りコード表</vt:lpstr>
      <vt:lpstr>WK_建具製造リスト_FullHeight</vt:lpstr>
      <vt:lpstr>WK_取付金物</vt:lpstr>
      <vt:lpstr>WK_新ライン指示データ</vt:lpstr>
      <vt:lpstr>WK_製造依頼書建具</vt:lpstr>
      <vt:lpstr>WK_製造依頼書建具_FullHeight</vt:lpstr>
      <vt:lpstr>WK_部材展開</vt:lpstr>
      <vt:lpstr>WK_アラジン用データ_製造日</vt:lpstr>
      <vt:lpstr>WK_AO資材納期情報</vt:lpstr>
      <vt:lpstr>WK_資材納期</vt:lpstr>
      <vt:lpstr>T_Version管理!Print_Area</vt:lpstr>
      <vt:lpstr>T_出力レポート!Print_Area</vt:lpstr>
      <vt:lpstr>WK_AO資材納期情報!Print_Area</vt:lpstr>
      <vt:lpstr>WK_Calendar_業務!Print_Area</vt:lpstr>
      <vt:lpstr>WK_Calendar_工場!Print_Area</vt:lpstr>
      <vt:lpstr>WK_FullHeightライン指示!Print_Area</vt:lpstr>
      <vt:lpstr>WK_Status!Print_Area</vt:lpstr>
      <vt:lpstr>WK_SxL品番読替表!Print_Area</vt:lpstr>
      <vt:lpstr>WK_アラジン用データ_製造日!Print_Area</vt:lpstr>
      <vt:lpstr>WK_チェックリスト!Print_Area</vt:lpstr>
      <vt:lpstr>WK_フルハイトライン製造数邸別!Print_Area</vt:lpstr>
      <vt:lpstr>WK_ラベル!Print_Area</vt:lpstr>
      <vt:lpstr>WK_縁張りコード表!Print_Area</vt:lpstr>
      <vt:lpstr>WK_契約番号!Print_Area</vt:lpstr>
      <vt:lpstr>WK_建具製造リスト_FullHeight!Print_Area</vt:lpstr>
      <vt:lpstr>WK_工程表データ!Print_Area</vt:lpstr>
      <vt:lpstr>WK_札データ!Print_Area</vt:lpstr>
      <vt:lpstr>WK_札データ_集計!Print_Area</vt:lpstr>
      <vt:lpstr>WK_札データ_備考!Print_Area</vt:lpstr>
      <vt:lpstr>WK_札台帳データ!Print_Area</vt:lpstr>
      <vt:lpstr>WK_資材納期!Print_Area</vt:lpstr>
      <vt:lpstr>WK_取付金物!Print_Area</vt:lpstr>
      <vt:lpstr>WK_上枠下地グループ集計!Print_Area</vt:lpstr>
      <vt:lpstr>WK_新ライン指示データ!Print_Area</vt:lpstr>
      <vt:lpstr>WK_製造依頼書建具!Print_Area</vt:lpstr>
      <vt:lpstr>WK_製造依頼書建具_FullHeight!Print_Area</vt:lpstr>
      <vt:lpstr>WK_製造指示!Print_Area</vt:lpstr>
      <vt:lpstr>WK_製造指示_Clone!Print_Area</vt:lpstr>
      <vt:lpstr>WK_製造日別集計データ!Print_Area</vt:lpstr>
      <vt:lpstr>WK_対象日付!Print_Area</vt:lpstr>
      <vt:lpstr>WK_台帳集計データ!Print_Area</vt:lpstr>
      <vt:lpstr>WK_追加製造!Print_Area</vt:lpstr>
      <vt:lpstr>WK_部材展開!Print_Area</vt:lpstr>
      <vt:lpstr>WK_枠出荷表!Print_Area</vt:lpstr>
      <vt:lpstr>WK_框材使用数!Print_Area</vt:lpstr>
      <vt:lpstr>原紙!Print_Area</vt:lpstr>
      <vt:lpstr>T_Version管理!Print_Titles</vt:lpstr>
      <vt:lpstr>T_出力レポート!Print_Titles</vt:lpstr>
      <vt:lpstr>WK_AO資材納期情報!Print_Titles</vt:lpstr>
      <vt:lpstr>WK_Calendar_業務!Print_Titles</vt:lpstr>
      <vt:lpstr>WK_Calendar_工場!Print_Titles</vt:lpstr>
      <vt:lpstr>WK_FullHeightライン指示!Print_Titles</vt:lpstr>
      <vt:lpstr>WK_Status!Print_Titles</vt:lpstr>
      <vt:lpstr>WK_SxL品番読替表!Print_Titles</vt:lpstr>
      <vt:lpstr>WK_アラジン用データ_製造日!Print_Titles</vt:lpstr>
      <vt:lpstr>WK_チェックリスト!Print_Titles</vt:lpstr>
      <vt:lpstr>WK_フルハイトライン製造数邸別!Print_Titles</vt:lpstr>
      <vt:lpstr>WK_ラベル!Print_Titles</vt:lpstr>
      <vt:lpstr>WK_縁張りコード表!Print_Titles</vt:lpstr>
      <vt:lpstr>WK_契約番号!Print_Titles</vt:lpstr>
      <vt:lpstr>WK_建具製造リスト_FullHeight!Print_Titles</vt:lpstr>
      <vt:lpstr>WK_工程表データ!Print_Titles</vt:lpstr>
      <vt:lpstr>WK_札データ!Print_Titles</vt:lpstr>
      <vt:lpstr>WK_札データ_集計!Print_Titles</vt:lpstr>
      <vt:lpstr>WK_札データ_備考!Print_Titles</vt:lpstr>
      <vt:lpstr>WK_札台帳データ!Print_Titles</vt:lpstr>
      <vt:lpstr>WK_資材納期!Print_Titles</vt:lpstr>
      <vt:lpstr>WK_取付金物!Print_Titles</vt:lpstr>
      <vt:lpstr>WK_上枠下地グループ集計!Print_Titles</vt:lpstr>
      <vt:lpstr>WK_新ライン指示データ!Print_Titles</vt:lpstr>
      <vt:lpstr>WK_製造依頼書建具!Print_Titles</vt:lpstr>
      <vt:lpstr>WK_製造依頼書建具_FullHeight!Print_Titles</vt:lpstr>
      <vt:lpstr>WK_製造指示!Print_Titles</vt:lpstr>
      <vt:lpstr>WK_製造指示_Clone!Print_Titles</vt:lpstr>
      <vt:lpstr>WK_製造日別集計データ!Print_Titles</vt:lpstr>
      <vt:lpstr>WK_対象日付!Print_Titles</vt:lpstr>
      <vt:lpstr>WK_台帳集計データ!Print_Titles</vt:lpstr>
      <vt:lpstr>WK_追加製造!Print_Titles</vt:lpstr>
      <vt:lpstr>WK_部材展開!Print_Titles</vt:lpstr>
      <vt:lpstr>WK_枠出荷表!Print_Titles</vt:lpstr>
      <vt:lpstr>WK_框材使用数!Print_Titles</vt:lpstr>
      <vt:lpstr>原紙!Print_Titles</vt:lpstr>
    </vt:vector>
  </TitlesOfParts>
  <Company>自宅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MDBテーブル定義</dc:title>
  <dc:subject>MDBのテーブル作成、テーブル定義の取得</dc:subject>
  <dc:creator>井上治</dc:creator>
  <cp:lastModifiedBy>asayama</cp:lastModifiedBy>
  <cp:lastPrinted>2006-04-15T13:06:38Z</cp:lastPrinted>
  <dcterms:created xsi:type="dcterms:W3CDTF">2005-11-25T12:34:15Z</dcterms:created>
  <dcterms:modified xsi:type="dcterms:W3CDTF">2018-11-15T06:40:55Z</dcterms:modified>
  <cp:category>MDB,データベース,テーブル,DAO</cp:category>
</cp:coreProperties>
</file>