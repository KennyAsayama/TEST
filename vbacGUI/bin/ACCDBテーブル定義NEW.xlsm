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01\Share\販売促進部\業務システム課\002_開発\製造指示\"/>
    </mc:Choice>
  </mc:AlternateContent>
  <bookViews>
    <workbookView xWindow="0" yWindow="15" windowWidth="9555" windowHeight="5295" firstSheet="7" activeTab="8"/>
  </bookViews>
  <sheets>
    <sheet name="設定" sheetId="2" state="hidden" r:id="rId1"/>
    <sheet name="原紙" sheetId="1" r:id="rId2"/>
    <sheet name="T_Version管理" sheetId="43" r:id="rId3"/>
    <sheet name="WK_Calendar_業務" sheetId="44" r:id="rId4"/>
    <sheet name="WK_Calendar_工場" sheetId="45" r:id="rId5"/>
    <sheet name="WK_Status" sheetId="46" r:id="rId6"/>
    <sheet name="WK_SxL品番読替表" sheetId="47" r:id="rId7"/>
    <sheet name="WK_チェックリスト" sheetId="48" r:id="rId8"/>
    <sheet name="WK_工程表データ" sheetId="49" r:id="rId9"/>
    <sheet name="WK_札データ" sheetId="50" r:id="rId10"/>
    <sheet name="WK_札データ_集計" sheetId="51" r:id="rId11"/>
    <sheet name="WK_札データ_備考" sheetId="52" r:id="rId12"/>
    <sheet name="WK_札台帳データ" sheetId="53" r:id="rId13"/>
    <sheet name="WK_上枠下地グループ集計" sheetId="54" r:id="rId14"/>
    <sheet name="WK_製造指示" sheetId="55" r:id="rId15"/>
    <sheet name="WK_製造指示_Clone" sheetId="56" r:id="rId16"/>
    <sheet name="WK_製造日別集計データ" sheetId="57" r:id="rId17"/>
    <sheet name="WK_対象日付" sheetId="58" r:id="rId18"/>
    <sheet name="WK_台帳集計データ" sheetId="59" r:id="rId19"/>
    <sheet name="WK_追加製造" sheetId="60" r:id="rId20"/>
    <sheet name="WK_枠出荷表" sheetId="61" r:id="rId21"/>
    <sheet name="WK_框材使用数" sheetId="62" r:id="rId22"/>
    <sheet name="WK_契約番号" sheetId="63" r:id="rId23"/>
  </sheets>
  <functionGroups builtInGroupCount="18"/>
  <definedNames>
    <definedName name="_xlnm.Print_Area" localSheetId="2">T_Version管理!$A$1:$AA$50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7">WK_チェックリスト!$A$1:$AA$50</definedName>
    <definedName name="_xlnm.Print_Area" localSheetId="22">WK_契約番号!$A$1:$AA$38</definedName>
    <definedName name="_xlnm.Print_Area" localSheetId="8">WK_工程表データ!$A$1:$AA$52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13">WK_上枠下地グループ集計!$A$1:$AA$50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20">WK_枠出荷表!$A$1:$AA$50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3">WK_Calendar_業務!$1:$3</definedName>
    <definedName name="_xlnm.Print_Titles" localSheetId="4">WK_Calendar_工場!$1:$3</definedName>
    <definedName name="_xlnm.Print_Titles" localSheetId="5">WK_Status!$1:$3</definedName>
    <definedName name="_xlnm.Print_Titles" localSheetId="6">WK_SxL品番読替表!$1:$3</definedName>
    <definedName name="_xlnm.Print_Titles" localSheetId="7">WK_チェックリスト!$1:$3</definedName>
    <definedName name="_xlnm.Print_Titles" localSheetId="22">WK_契約番号!$1:$3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13">WK_上枠下地グループ集計!$1:$3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16" i="49" l="1"/>
  <c r="A11" i="49" l="1"/>
  <c r="A12" i="49"/>
  <c r="A4" i="63" l="1"/>
  <c r="A5" i="63"/>
  <c r="A6" i="63"/>
  <c r="A7" i="63"/>
  <c r="A12" i="63"/>
  <c r="A11" i="63"/>
  <c r="A10" i="63"/>
  <c r="A9" i="63"/>
  <c r="A8" i="63"/>
  <c r="AC2" i="63"/>
  <c r="AC1" i="63"/>
  <c r="AB1" i="63"/>
  <c r="A24" i="62" l="1"/>
  <c r="A23" i="62"/>
  <c r="A22" i="62"/>
  <c r="A21" i="62"/>
  <c r="A20" i="62"/>
  <c r="A19" i="62"/>
  <c r="A18" i="62"/>
  <c r="A17" i="62"/>
  <c r="A16" i="62"/>
  <c r="A15" i="62"/>
  <c r="A14" i="62"/>
  <c r="A13" i="62"/>
  <c r="A12" i="62"/>
  <c r="A11" i="62"/>
  <c r="A10" i="62"/>
  <c r="A9" i="62"/>
  <c r="A8" i="62"/>
  <c r="A7" i="62"/>
  <c r="A6" i="62"/>
  <c r="A5" i="62"/>
  <c r="A4" i="62"/>
  <c r="AC2" i="62"/>
  <c r="AC1" i="62"/>
  <c r="AB1" i="62"/>
  <c r="A22" i="61"/>
  <c r="A21" i="61"/>
  <c r="A20" i="61"/>
  <c r="A19" i="61"/>
  <c r="A18" i="61"/>
  <c r="A17" i="61"/>
  <c r="A16" i="61"/>
  <c r="A15" i="61"/>
  <c r="A14" i="61"/>
  <c r="A13" i="61"/>
  <c r="A12" i="61"/>
  <c r="A11" i="61"/>
  <c r="A10" i="61"/>
  <c r="A9" i="61"/>
  <c r="A8" i="61"/>
  <c r="A7" i="61"/>
  <c r="A6" i="61"/>
  <c r="A5" i="61"/>
  <c r="A4" i="61"/>
  <c r="AC2" i="61"/>
  <c r="AC1" i="61"/>
  <c r="AB1" i="61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C2" i="60"/>
  <c r="AC1" i="60"/>
  <c r="AB1" i="60"/>
  <c r="A45" i="59"/>
  <c r="A44" i="59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4" i="59"/>
  <c r="AC2" i="59"/>
  <c r="AC1" i="59"/>
  <c r="AB1" i="59"/>
  <c r="A5" i="58"/>
  <c r="A4" i="58"/>
  <c r="AC2" i="58"/>
  <c r="AC1" i="58"/>
  <c r="AB1" i="58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4" i="57"/>
  <c r="AC2" i="57"/>
  <c r="AC1" i="57"/>
  <c r="AB1" i="57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A6" i="56"/>
  <c r="A5" i="56"/>
  <c r="A4" i="56"/>
  <c r="AC2" i="56"/>
  <c r="AC1" i="56"/>
  <c r="AB1" i="56"/>
  <c r="A31" i="55"/>
  <c r="A30" i="55"/>
  <c r="A29" i="55"/>
  <c r="A28" i="55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C2" i="55"/>
  <c r="AC1" i="55"/>
  <c r="AB1" i="55"/>
  <c r="A24" i="54"/>
  <c r="A23" i="54"/>
  <c r="A22" i="54"/>
  <c r="A21" i="54"/>
  <c r="A20" i="54"/>
  <c r="A19" i="54"/>
  <c r="A18" i="54"/>
  <c r="A17" i="54"/>
  <c r="A16" i="54"/>
  <c r="A15" i="54"/>
  <c r="A14" i="54"/>
  <c r="A13" i="54"/>
  <c r="A12" i="54"/>
  <c r="A11" i="54"/>
  <c r="A10" i="54"/>
  <c r="A9" i="54"/>
  <c r="A8" i="54"/>
  <c r="A7" i="54"/>
  <c r="A6" i="54"/>
  <c r="A5" i="54"/>
  <c r="A4" i="54"/>
  <c r="AC2" i="54"/>
  <c r="AC1" i="54"/>
  <c r="AB1" i="54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C2" i="53"/>
  <c r="AC1" i="53"/>
  <c r="AB1" i="53"/>
  <c r="A13" i="52"/>
  <c r="A12" i="52"/>
  <c r="A11" i="52"/>
  <c r="A10" i="52"/>
  <c r="A9" i="52"/>
  <c r="A8" i="52"/>
  <c r="A7" i="52"/>
  <c r="A6" i="52"/>
  <c r="A5" i="52"/>
  <c r="A4" i="52"/>
  <c r="AC2" i="52"/>
  <c r="AC1" i="52"/>
  <c r="AB1" i="52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A20" i="51"/>
  <c r="A19" i="51"/>
  <c r="A18" i="51"/>
  <c r="A17" i="51"/>
  <c r="A16" i="51"/>
  <c r="A15" i="51"/>
  <c r="A14" i="51"/>
  <c r="A13" i="51"/>
  <c r="A12" i="51"/>
  <c r="A11" i="51"/>
  <c r="A10" i="51"/>
  <c r="A9" i="51"/>
  <c r="A8" i="51"/>
  <c r="A7" i="51"/>
  <c r="A6" i="51"/>
  <c r="A5" i="51"/>
  <c r="A4" i="51"/>
  <c r="AC2" i="51"/>
  <c r="AC1" i="51"/>
  <c r="AB1" i="51"/>
  <c r="A33" i="50"/>
  <c r="A32" i="50"/>
  <c r="A31" i="50"/>
  <c r="A30" i="50"/>
  <c r="A29" i="50"/>
  <c r="A28" i="50"/>
  <c r="A27" i="50"/>
  <c r="A26" i="50"/>
  <c r="A25" i="50"/>
  <c r="A24" i="50"/>
  <c r="A23" i="50"/>
  <c r="A22" i="50"/>
  <c r="A21" i="50"/>
  <c r="A20" i="50"/>
  <c r="A19" i="50"/>
  <c r="A18" i="50"/>
  <c r="A17" i="50"/>
  <c r="A16" i="50"/>
  <c r="A15" i="50"/>
  <c r="A14" i="50"/>
  <c r="A13" i="50"/>
  <c r="A12" i="50"/>
  <c r="A11" i="50"/>
  <c r="A10" i="50"/>
  <c r="A9" i="50"/>
  <c r="A8" i="50"/>
  <c r="A7" i="50"/>
  <c r="A6" i="50"/>
  <c r="A5" i="50"/>
  <c r="A4" i="50"/>
  <c r="AC2" i="50"/>
  <c r="AC1" i="50"/>
  <c r="AB1" i="50"/>
  <c r="A25" i="49"/>
  <c r="A24" i="49"/>
  <c r="A23" i="49"/>
  <c r="A22" i="49"/>
  <c r="A21" i="49"/>
  <c r="A20" i="49"/>
  <c r="A19" i="49"/>
  <c r="A18" i="49"/>
  <c r="A17" i="49"/>
  <c r="A15" i="49"/>
  <c r="A14" i="49"/>
  <c r="A13" i="49"/>
  <c r="A10" i="49"/>
  <c r="A9" i="49"/>
  <c r="A8" i="49"/>
  <c r="A7" i="49"/>
  <c r="A6" i="49"/>
  <c r="A5" i="49"/>
  <c r="A4" i="49"/>
  <c r="AC2" i="49"/>
  <c r="AC1" i="49"/>
  <c r="AB1" i="49"/>
  <c r="A15" i="48"/>
  <c r="A14" i="48"/>
  <c r="A13" i="48"/>
  <c r="A12" i="48"/>
  <c r="A11" i="48"/>
  <c r="A10" i="48"/>
  <c r="A9" i="48"/>
  <c r="A8" i="48"/>
  <c r="A7" i="48"/>
  <c r="A6" i="48"/>
  <c r="A5" i="48"/>
  <c r="A4" i="48"/>
  <c r="AC2" i="48"/>
  <c r="AC1" i="48"/>
  <c r="AB1" i="48"/>
  <c r="A8" i="47"/>
  <c r="A7" i="47"/>
  <c r="A6" i="47"/>
  <c r="A5" i="47"/>
  <c r="A4" i="47"/>
  <c r="AC2" i="47"/>
  <c r="AC1" i="47"/>
  <c r="AB1" i="47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A4" i="46"/>
  <c r="AC2" i="46"/>
  <c r="AC1" i="46"/>
  <c r="AB1" i="46"/>
  <c r="A4" i="45"/>
  <c r="AC2" i="45"/>
  <c r="AC1" i="45"/>
  <c r="AB1" i="45"/>
  <c r="A4" i="44"/>
  <c r="AC2" i="44"/>
  <c r="AC1" i="44"/>
  <c r="AB1" i="44"/>
  <c r="A7" i="43"/>
  <c r="A6" i="43"/>
  <c r="A5" i="43"/>
  <c r="A4" i="43"/>
  <c r="AC2" i="43"/>
  <c r="AC1" i="43"/>
  <c r="AB1" i="43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<sst xmlns="http://schemas.openxmlformats.org/spreadsheetml/2006/main" count="2111" uniqueCount="303">
  <si>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</si>
  <si>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</si>
  <si>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</si>
  <si>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</si>
  <si>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</si>
  <si>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</si>
  <si>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</si>
  <si>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</si>
  <si>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</si>
  <si>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</si>
  <si>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</si>
  <si>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</si>
  <si>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</si>
  <si>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</si>
  <si>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</si>
  <si>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</si>
  <si>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</si>
  <si>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</si>
  <si>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</si>
  <si>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</si>
  <si>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</si>
  <si>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</si>
  <si>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</si>
  <si>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</si>
  <si>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</si>
  <si>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</si>
  <si>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</si>
  <si>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</si>
  <si>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</si>
  <si>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</si>
  <si>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</si>
  <si>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</si>
  <si>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</si>
  <si>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</si>
  <si>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</si>
  <si>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</si>
  <si>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</si>
  <si>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</si>
  <si>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</si>
  <si>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</si>
  <si>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</si>
  <si>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</si>
  <si>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</si>
  <si>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</si>
  <si>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</si>
  <si>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</si>
  <si>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</si>
  <si>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</si>
  <si>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</si>
  <si>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</si>
  <si>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</si>
  <si>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</si>
  <si>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</si>
  <si>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</si>
  <si>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</si>
  <si>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</si>
  <si>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</si>
  <si>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</si>
  <si>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</si>
  <si>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</si>
  <si>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</si>
  <si>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</si>
  <si>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</si>
  <si>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</si>
  <si>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</si>
  <si>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</si>
  <si>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</si>
  <si>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</si>
  <si>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</si>
  <si>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</si>
  <si>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</si>
  <si>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</si>
  <si>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</si>
  <si>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</si>
  <si>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</si>
  <si>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</si>
  <si>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</si>
  <si>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</si>
  <si>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</si>
  <si>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</si>
  <si>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</si>
  <si>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</si>
  <si>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</si>
  <si>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</si>
  <si>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</si>
  <si>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</si>
  <si>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</si>
  <si>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</si>
  <si>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</si>
  <si>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</si>
  <si>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</si>
  <si>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</si>
  <si>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</si>
  <si>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</si>
  <si>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</si>
  <si>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</si>
  <si>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</si>
  <si>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</si>
  <si>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</si>
  <si>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</si>
  <si>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</si>
  <si>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</si>
  <si>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</si>
  <si>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</si>
  <si>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</si>
  <si>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</si>
  <si>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</si>
  <si>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</si>
  <si>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</si>
  <si>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</si>
  <si>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</si>
  <si>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</si>
  <si>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</si>
  <si>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</si>
  <si>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</si>
  <si>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</si>
  <si>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</si>
  <si>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</si>
  <si>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</si>
  <si>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</si>
  <si>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</si>
  <si>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</si>
  <si>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</si>
  <si>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</si>
  <si>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</si>
  <si>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</si>
  <si>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</si>
  <si>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</si>
  <si>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</si>
  <si>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</si>
  <si>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</si>
  <si>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</si>
  <si>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</si>
  <si>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</si>
  <si>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</si>
  <si>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</si>
  <si>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</si>
  <si>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</si>
  <si>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</si>
  <si>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</si>
  <si>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</si>
  <si>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</si>
  <si>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</si>
  <si>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</si>
  <si>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</si>
  <si>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</si>
  <si>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</si>
  <si>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</si>
  <si>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</si>
  <si>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</si>
  <si>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</si>
  <si>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</si>
  <si>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</si>
  <si>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</si>
  <si>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</si>
  <si>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</si>
  <si>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</si>
  <si>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</si>
  <si>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</si>
  <si>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</si>
  <si>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</si>
  <si>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</si>
  <si>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</si>
  <si>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</si>
  <si>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</si>
  <si>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</si>
  <si>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</si>
  <si>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</si>
  <si>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</si>
  <si>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</si>
  <si>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</si>
  <si>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</si>
  <si>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</si>
  <si>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</si>
  <si>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</si>
  <si>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</si>
  <si>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</si>
  <si>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</si>
  <si>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</si>
  <si>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</si>
  <si>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</si>
  <si>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</si>
  <si>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</si>
  <si>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</si>
  <si>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</si>
  <si>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</si>
  <si>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</si>
  <si>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</si>
  <si>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</si>
  <si>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</si>
  <si>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</si>
  <si>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</si>
  <si>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</si>
  <si>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</si>
  <si>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</si>
  <si>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</si>
  <si>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</si>
  <si>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</si>
  <si>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</si>
  <si>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</si>
  <si>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</si>
  <si>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</si>
  <si>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</si>
  <si>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</si>
  <si>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</si>
  <si>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</si>
  <si>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</si>
  <si>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</si>
  <si>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</si>
  <si>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</si>
  <si>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</si>
  <si>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</si>
  <si>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</si>
  <si>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</si>
  <si>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</si>
  <si>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</si>
  <si>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</si>
  <si>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</si>
  <si>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</si>
  <si>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</si>
  <si>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</si>
  <si>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</si>
  <si>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</si>
  <si>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</si>
  <si>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</si>
  <si>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</si>
  <si>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</si>
  <si>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</si>
  <si>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</si>
  <si>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</si>
  <si>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</si>
  <si>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</si>
  <si>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</si>
  <si>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</si>
  <si>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</si>
  <si>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</si>
  <si>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製造管理システム1_12_0.accdb</t>
    <phoneticPr fontId="3"/>
  </si>
  <si>
    <t>C:\Users\asayama\Desktop</t>
    <phoneticPr fontId="3"/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</si>
  <si>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</si>
  <si>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</si>
  <si>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</si>
  <si>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</si>
  <si>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</si>
  <si>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</si>
  <si>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</si>
  <si>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</si>
  <si>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</si>
  <si>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</si>
  <si>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</si>
  <si>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</si>
  <si>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</si>
  <si>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</si>
  <si>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</si>
  <si>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</si>
  <si>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</si>
  <si>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</si>
  <si>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</si>
  <si>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</si>
  <si>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</si>
  <si>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</si>
  <si>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</si>
  <si>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</si>
  <si>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</si>
  <si>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</si>
  <si>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</si>
  <si>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</si>
  <si>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</si>
  <si>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</si>
  <si>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</si>
  <si>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</si>
  <si>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</si>
  <si>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</si>
  <si>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</si>
  <si>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</si>
  <si>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</si>
  <si>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</si>
  <si>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</si>
  <si>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</si>
  <si>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</si>
  <si>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</si>
  <si>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</si>
  <si>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</si>
  <si>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</si>
  <si>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</si>
  <si>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</si>
  <si>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</si>
  <si>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</si>
  <si>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</si>
  <si>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</si>
  <si>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</si>
  <si>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</si>
  <si>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ID</t>
    <phoneticPr fontId="3"/>
  </si>
  <si>
    <t>契約No</t>
    <phoneticPr fontId="3"/>
  </si>
  <si>
    <t>棟No</t>
    <phoneticPr fontId="3"/>
  </si>
  <si>
    <t>部屋No</t>
    <phoneticPr fontId="3"/>
  </si>
  <si>
    <t>施工店名</t>
    <rPh sb="0" eb="2">
      <t>セコウ</t>
    </rPh>
    <rPh sb="2" eb="3">
      <t>テン</t>
    </rPh>
    <rPh sb="3" eb="4">
      <t>メイ</t>
    </rPh>
    <phoneticPr fontId="3"/>
  </si>
  <si>
    <t>ErrMsg</t>
    <phoneticPr fontId="3"/>
  </si>
  <si>
    <t>システム更新日時</t>
    <rPh sb="4" eb="6">
      <t>コウシン</t>
    </rPh>
    <rPh sb="6" eb="8">
      <t>ニチジ</t>
    </rPh>
    <phoneticPr fontId="3"/>
  </si>
  <si>
    <t>WK_契約番号</t>
    <rPh sb="3" eb="5">
      <t>ケイヤク</t>
    </rPh>
    <rPh sb="5" eb="7">
      <t>バンゴウ</t>
    </rPh>
    <phoneticPr fontId="3"/>
  </si>
  <si>
    <t>個別Spec</t>
    <rPh sb="0" eb="2">
      <t>コベツ</t>
    </rPh>
    <phoneticPr fontId="3"/>
  </si>
  <si>
    <t>1.12.3</t>
    <phoneticPr fontId="3"/>
  </si>
  <si>
    <t>色</t>
    <rPh sb="0" eb="1">
      <t>イロ</t>
    </rPh>
    <phoneticPr fontId="3"/>
  </si>
  <si>
    <t>1.12.3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</si>
</sst>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7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236</v>
      </c>
      <c r="Q2" s="19" t="s">
        <v>237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/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9" t="s">
        <v>0</v>
      </c>
      <c r="C3" s="40"/>
      <c r="D3" s="41"/>
      <c r="E3" s="5" t="s">
        <v>53</v>
      </c>
      <c r="F3" s="51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5" t="s">
        <v>2</v>
      </c>
      <c r="AA3" s="36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54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65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67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238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240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240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241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244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246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247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248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249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250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251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252</v>
      </c>
      <c r="V22" s="1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253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254</v>
      </c>
      <c r="V24" s="1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68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75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5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Z17" sqref="Z17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176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25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ht="11.25" customHeight="1" x14ac:dyDescent="0.15">
      <c r="A11" s="12">
        <f t="shared" si="0"/>
        <v>7</v>
      </c>
      <c r="B11" s="13"/>
      <c r="C11" s="13"/>
      <c r="D11" s="13"/>
      <c r="E11" s="8" t="s">
        <v>299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11</v>
      </c>
      <c r="W11" s="9">
        <v>20</v>
      </c>
      <c r="X11" s="9" t="s">
        <v>60</v>
      </c>
      <c r="Y11" s="9" t="s">
        <v>28</v>
      </c>
      <c r="Z11" s="10" t="s">
        <v>300</v>
      </c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3"/>
      <c r="D14" s="13"/>
      <c r="E14" s="8" t="s">
        <v>178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7" t="s">
        <v>56</v>
      </c>
      <c r="W14" s="9">
        <v>255</v>
      </c>
      <c r="X14" s="9" t="s">
        <v>60</v>
      </c>
      <c r="Y14" s="9" t="s">
        <v>58</v>
      </c>
      <c r="Z14" s="10"/>
      <c r="AA14" s="10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32"/>
      <c r="D16" s="32"/>
      <c r="E16" s="11" t="s">
        <v>301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32" t="s">
        <v>11</v>
      </c>
      <c r="W16" s="14">
        <v>10</v>
      </c>
      <c r="X16" s="14" t="s">
        <v>60</v>
      </c>
      <c r="Y16" s="14" t="s">
        <v>28</v>
      </c>
      <c r="Z16" s="15" t="s">
        <v>302</v>
      </c>
      <c r="AA16" s="15"/>
    </row>
    <row r="17" spans="1:27" s="11" customFormat="1" x14ac:dyDescent="0.15">
      <c r="A17" s="12">
        <f t="shared" si="0"/>
        <v>13</v>
      </c>
      <c r="B17" s="13"/>
      <c r="C17" s="18"/>
      <c r="D17" s="1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2">
        <f t="shared" si="0"/>
        <v>14</v>
      </c>
      <c r="B18" s="13"/>
      <c r="C18" s="18"/>
      <c r="D18" s="18"/>
      <c r="E18" s="11" t="s">
        <v>112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168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169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170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s="11" customFormat="1" x14ac:dyDescent="0.15">
      <c r="A22" s="11">
        <f t="shared" si="0"/>
        <v>18</v>
      </c>
      <c r="B22" s="18"/>
      <c r="C22" s="18"/>
      <c r="D22" s="18"/>
      <c r="E22" s="11" t="s">
        <v>171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8" t="s">
        <v>56</v>
      </c>
      <c r="W22" s="14">
        <v>255</v>
      </c>
      <c r="X22" s="14" t="s">
        <v>60</v>
      </c>
      <c r="Y22" s="14" t="s">
        <v>58</v>
      </c>
      <c r="Z22" s="15"/>
      <c r="AA22" s="15"/>
    </row>
    <row r="23" spans="1:27" s="11" customFormat="1" x14ac:dyDescent="0.15">
      <c r="A23" s="11">
        <f t="shared" si="0"/>
        <v>19</v>
      </c>
      <c r="B23" s="18"/>
      <c r="C23" s="18"/>
      <c r="D23" s="18"/>
      <c r="E23" s="11" t="s">
        <v>172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8" t="s">
        <v>56</v>
      </c>
      <c r="W23" s="14">
        <v>255</v>
      </c>
      <c r="X23" s="14" t="s">
        <v>60</v>
      </c>
      <c r="Y23" s="14" t="s">
        <v>58</v>
      </c>
      <c r="Z23" s="15"/>
      <c r="AA23" s="15"/>
    </row>
    <row r="24" spans="1:27" x14ac:dyDescent="0.15">
      <c r="A24" s="11">
        <f t="shared" si="0"/>
        <v>20</v>
      </c>
      <c r="E24" s="11" t="s">
        <v>173</v>
      </c>
      <c r="V24" s="18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180</v>
      </c>
      <c r="V25" s="17" t="s">
        <v>56</v>
      </c>
      <c r="W25" s="14">
        <v>255</v>
      </c>
      <c r="X25" s="14" t="s">
        <v>60</v>
      </c>
      <c r="Y2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8 A1:A1048576"/>
    <dataValidation type="whole" imeMode="off" operator="greaterThanOrEqual" allowBlank="1" showInputMessage="1" showErrorMessage="1" sqref="W3:W65538 F2:U65538">
      <formula1>1</formula1>
    </dataValidation>
    <dataValidation type="list" imeMode="on" allowBlank="1" showInputMessage="1" showErrorMessage="1" sqref="X4:X65538">
      <formula1>INDIRECT($AC$1,FALSE)</formula1>
    </dataValidation>
    <dataValidation type="list" allowBlank="1" showInputMessage="1" showErrorMessage="1" sqref="Y4:Y65538">
      <formula1>INDIRECT($AC$2,FALSE)</formula1>
    </dataValidation>
    <dataValidation type="list" allowBlank="1" showInputMessage="1" showErrorMessage="1" sqref="V4:V65538">
      <formula1>INDIRECT($AB$1,FALSE)</formula1>
    </dataValidation>
    <dataValidation imeMode="on" allowBlank="1" showInputMessage="1" showErrorMessage="1" sqref="W1:AA2 Z4:AA65538 C3:D9 B9 B1:B4 B10:D65538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90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1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1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56" t="s">
        <v>255</v>
      </c>
      <c r="C33" s="56"/>
      <c r="D33" s="56"/>
      <c r="E33" s="11" t="s">
        <v>175</v>
      </c>
      <c r="V33" s="18" t="s">
        <v>80</v>
      </c>
      <c r="X33" s="14" t="s">
        <v>60</v>
      </c>
      <c r="Y33" s="14" t="s">
        <v>64</v>
      </c>
    </row>
  </sheetData>
  <mergeCells count="11"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32 C34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113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1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1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1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1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1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1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1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1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1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256</v>
      </c>
      <c r="V33" s="18" t="s">
        <v>63</v>
      </c>
      <c r="X33" s="14" t="s">
        <v>64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257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181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1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1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1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1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1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1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1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1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1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1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1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1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1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1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1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1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1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258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260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261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265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266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268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269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270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271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272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273</v>
      </c>
      <c r="V24" s="1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119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1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37" t="s">
        <v>274</v>
      </c>
      <c r="E30" s="11" t="s">
        <v>85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37"/>
      <c r="E31" s="11" t="s">
        <v>86</v>
      </c>
      <c r="V31" s="18" t="s">
        <v>63</v>
      </c>
      <c r="X31" s="14" t="s">
        <v>64</v>
      </c>
      <c r="Y31" s="14" t="s">
        <v>64</v>
      </c>
    </row>
  </sheetData>
  <mergeCells count="11">
    <mergeCell ref="B30:B31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C10:D65536 B10:B30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31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138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31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18" t="s">
        <v>56</v>
      </c>
      <c r="W26" s="14">
        <v>15</v>
      </c>
      <c r="X26" s="14" t="s">
        <v>60</v>
      </c>
      <c r="Y26" s="14" t="s">
        <v>114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114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18" t="s">
        <v>63</v>
      </c>
      <c r="X31" s="14" t="s">
        <v>64</v>
      </c>
      <c r="Y31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139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1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144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21" sqref="W2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216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11</v>
      </c>
      <c r="W20" s="14">
        <v>10</v>
      </c>
      <c r="X20" s="14"/>
      <c r="Y20" s="14"/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1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1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1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1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1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1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1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1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1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1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1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1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1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1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1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1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1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1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147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1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1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1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1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1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1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1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275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22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280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281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282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283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284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285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286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287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288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289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290</v>
      </c>
      <c r="V22" s="18" t="s">
        <v>80</v>
      </c>
      <c r="X22" s="14" t="s">
        <v>60</v>
      </c>
      <c r="Y22" s="14" t="s">
        <v>64</v>
      </c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38" sqref="R38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224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9" t="s">
        <v>0</v>
      </c>
      <c r="C3" s="40"/>
      <c r="D3" s="41"/>
      <c r="E3" s="25" t="s">
        <v>53</v>
      </c>
      <c r="F3" s="5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1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1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2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2" sqref="C2:E2"/>
    </sheetView>
  </sheetViews>
  <sheetFormatPr defaultColWidth="15.625" defaultRowHeight="11.25" x14ac:dyDescent="0.15"/>
  <cols>
    <col min="1" max="1" width="3.625" style="11" customWidth="1"/>
    <col min="2" max="3" width="6.625" style="31" customWidth="1"/>
    <col min="4" max="4" width="12.625" style="31" customWidth="1"/>
    <col min="5" max="5" width="13.125" style="11" customWidth="1"/>
    <col min="6" max="6" width="3.75" style="14" customWidth="1"/>
    <col min="7" max="21" width="2.625" style="14" customWidth="1"/>
    <col min="22" max="22" width="8.75" style="31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4" t="s">
        <v>3</v>
      </c>
      <c r="B1" s="55"/>
      <c r="C1" s="42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4"/>
      <c r="V1" s="48" t="s">
        <v>4</v>
      </c>
      <c r="W1" s="37"/>
      <c r="X1" s="37"/>
      <c r="Y1" s="37"/>
      <c r="Z1" s="37"/>
      <c r="AA1" s="3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3" t="s">
        <v>49</v>
      </c>
      <c r="B2" s="34"/>
      <c r="C2" s="45" t="s">
        <v>298</v>
      </c>
      <c r="D2" s="46"/>
      <c r="E2" s="47"/>
      <c r="F2" s="50" t="s">
        <v>5</v>
      </c>
      <c r="G2" s="52" t="s">
        <v>47</v>
      </c>
      <c r="H2" s="52"/>
      <c r="I2" s="52"/>
      <c r="J2" s="52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49"/>
      <c r="W2" s="38"/>
      <c r="X2" s="38"/>
      <c r="Y2" s="38"/>
      <c r="Z2" s="38"/>
      <c r="AA2" s="3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9" t="s">
        <v>48</v>
      </c>
      <c r="B3" s="39" t="s">
        <v>0</v>
      </c>
      <c r="C3" s="40"/>
      <c r="D3" s="41"/>
      <c r="E3" s="28" t="s">
        <v>53</v>
      </c>
      <c r="F3" s="51"/>
      <c r="G3" s="30" t="s">
        <v>6</v>
      </c>
      <c r="H3" s="30" t="s">
        <v>7</v>
      </c>
      <c r="I3" s="30" t="s">
        <v>8</v>
      </c>
      <c r="J3" s="30" t="s">
        <v>9</v>
      </c>
      <c r="K3" s="30" t="s">
        <v>10</v>
      </c>
      <c r="L3" s="30">
        <v>6</v>
      </c>
      <c r="M3" s="30">
        <v>7</v>
      </c>
      <c r="N3" s="30">
        <v>8</v>
      </c>
      <c r="O3" s="30">
        <v>9</v>
      </c>
      <c r="P3" s="30">
        <v>10</v>
      </c>
      <c r="Q3" s="30">
        <v>11</v>
      </c>
      <c r="R3" s="30">
        <v>12</v>
      </c>
      <c r="S3" s="30">
        <v>13</v>
      </c>
      <c r="T3" s="30">
        <v>14</v>
      </c>
      <c r="U3" s="30">
        <v>15</v>
      </c>
      <c r="V3" s="30" t="s">
        <v>1</v>
      </c>
      <c r="W3" s="30" t="s">
        <v>17</v>
      </c>
      <c r="X3" s="30" t="s">
        <v>18</v>
      </c>
      <c r="Y3" s="30" t="s">
        <v>19</v>
      </c>
      <c r="Z3" s="35" t="s">
        <v>2</v>
      </c>
      <c r="AA3" s="36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291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292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293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ht="11.25" customHeigh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x14ac:dyDescent="0.15">
      <c r="A10" s="12">
        <f t="shared" si="0"/>
        <v>6</v>
      </c>
      <c r="B10" s="13"/>
      <c r="C10" s="13"/>
      <c r="D10" s="13"/>
      <c r="E10" s="8" t="s">
        <v>295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296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31" t="s">
        <v>56</v>
      </c>
      <c r="W11" s="9">
        <v>255</v>
      </c>
      <c r="X11" s="9" t="s">
        <v>60</v>
      </c>
      <c r="Y11" s="9" t="s">
        <v>28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31"/>
      <c r="D12" s="31"/>
      <c r="E12" s="11" t="s">
        <v>297</v>
      </c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31" t="s">
        <v>13</v>
      </c>
      <c r="W12" s="14"/>
      <c r="X12" s="14" t="s">
        <v>60</v>
      </c>
      <c r="Y12" s="14" t="s">
        <v>64</v>
      </c>
      <c r="Z12" s="15"/>
      <c r="AA12" s="15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C3:D8 B1:B4 C1:U1 B9:D65524 Z4:AA65524"/>
    <dataValidation type="list" allowBlank="1" showInputMessage="1" showErrorMessage="1" sqref="V4:V65524">
      <formula1>INDIRECT($AB$1,FALSE)</formula1>
    </dataValidation>
    <dataValidation type="list" allowBlank="1" showInputMessage="1" showErrorMessage="1" sqref="Y4:Y65524">
      <formula1>INDIRECT($AC$2,FALSE)</formula1>
    </dataValidation>
    <dataValidation type="list" imeMode="on" allowBlank="1" showInputMessage="1" showErrorMessage="1" sqref="X4:X65524">
      <formula1>INDIRECT($AC$1,FALSE)</formula1>
    </dataValidation>
    <dataValidation type="whole" imeMode="off" operator="greaterThanOrEqual" allowBlank="1" showInputMessage="1" showErrorMessage="1" sqref="F2:U65524 W3:W65524">
      <formula1>1</formula1>
    </dataValidation>
    <dataValidation imeMode="off" allowBlank="1" showInputMessage="1" showErrorMessage="1" sqref="E3:E65524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44</vt:i4>
      </vt:variant>
    </vt:vector>
  </HeadingPairs>
  <TitlesOfParts>
    <vt:vector size="67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T_Version管理!Print_Area</vt:lpstr>
      <vt:lpstr>WK_Calendar_業務!Print_Area</vt:lpstr>
      <vt:lpstr>WK_Calendar_工場!Print_Area</vt:lpstr>
      <vt:lpstr>WK_Status!Print_Area</vt:lpstr>
      <vt:lpstr>WK_SxL品番読替表!Print_Area</vt:lpstr>
      <vt:lpstr>WK_チェックリスト!Print_Area</vt:lpstr>
      <vt:lpstr>WK_契約番号!Print_Area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WK_上枠下地グループ集計!Print_Area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WK_枠出荷表!Print_Area</vt:lpstr>
      <vt:lpstr>WK_框材使用数!Print_Area</vt:lpstr>
      <vt:lpstr>原紙!Print_Area</vt:lpstr>
      <vt:lpstr>T_Version管理!Print_Titles</vt:lpstr>
      <vt:lpstr>WK_Calendar_業務!Print_Titles</vt:lpstr>
      <vt:lpstr>WK_Calendar_工場!Print_Titles</vt:lpstr>
      <vt:lpstr>WK_Status!Print_Titles</vt:lpstr>
      <vt:lpstr>WK_SxL品番読替表!Print_Titles</vt:lpstr>
      <vt:lpstr>WK_チェックリスト!Print_Titles</vt:lpstr>
      <vt:lpstr>WK_契約番号!Print_Titles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WK_上枠下地グループ集計!Print_Titles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2017-07-19T06:04:29Z</dcterms:modified>
  <cp:category>MDB,データベース,テーブル,DAO</cp:category>
</cp:coreProperties>
</file>