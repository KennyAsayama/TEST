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  <sheet name="WK_AO資材納期情報" sheetId="99" r:id="rId36"/>
    <sheet name="WK_資材納期" sheetId="100" r:id="rId37"/>
    <sheet name="WK_製造指示書ウォールスルー" sheetId="101" r:id="rId38"/>
  </sheets>
  <functionGroups builtInGroupCount="18"/>
  <externalReferences>
    <externalReference r:id="rId39"/>
  </externalReferences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5">WK_AO資材納期情報!$A$1:$AA$50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36">WK_資材納期!$A$1:$AA$50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37">WK_製造指示書ウォールスルー!$A$1:$AA$50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5">WK_AO資材納期情報!$1:$3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36">WK_資材納期!$1:$3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37">WK_製造指示書ウォールスルー!$1:$3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21" i="101" l="1"/>
  <c r="A22" i="101"/>
  <c r="A23" i="101"/>
  <c r="A24" i="101"/>
  <c r="A25" i="101"/>
  <c r="A26" i="101"/>
  <c r="A27" i="101"/>
  <c r="A28" i="101"/>
  <c r="A29" i="101"/>
  <c r="A30" i="101"/>
  <c r="A31" i="101"/>
  <c r="A32" i="101"/>
  <c r="A33" i="101"/>
  <c r="A34" i="101"/>
  <c r="A35" i="101"/>
  <c r="A36" i="101"/>
  <c r="A37" i="101"/>
  <c r="A38" i="101"/>
  <c r="A20" i="10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7" i="101"/>
  <c r="A6" i="101"/>
  <c r="A5" i="101"/>
  <c r="A4" i="101"/>
  <c r="AC2" i="101"/>
  <c r="AC1" i="101"/>
  <c r="AB1" i="101"/>
  <c r="A36" i="70" l="1"/>
  <c r="A30" i="79"/>
  <c r="A27" i="79"/>
  <c r="A28" i="79"/>
  <c r="A29" i="79"/>
  <c r="A185" i="78" l="1"/>
  <c r="A57" i="88"/>
  <c r="A169" i="78" l="1"/>
  <c r="A40" i="81" l="1"/>
  <c r="A41" i="81"/>
  <c r="A42" i="81"/>
  <c r="A43" i="81"/>
  <c r="A44" i="81"/>
  <c r="A34" i="80"/>
  <c r="A35" i="80"/>
  <c r="A36" i="80"/>
  <c r="A37" i="80"/>
  <c r="AB1" i="100" l="1"/>
  <c r="AC1" i="100"/>
  <c r="AC2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AC2" i="99"/>
  <c r="AC1" i="99"/>
  <c r="AB1" i="99"/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<sst xmlns="http://schemas.openxmlformats.org/spreadsheetml/2006/main" count="5289" uniqueCount="753">
  <si>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</si>
  <si>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</si>
  <si>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</si>
  <si>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</si>
  <si>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</si>
  <si>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</si>
  <si>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</si>
  <si>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</si>
  <si>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</si>
  <si>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</si>
  <si>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</si>
  <si>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</si>
  <si>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</si>
  <si>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</si>
  <si>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</si>
  <si>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</si>
  <si>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</si>
  <si>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</si>
  <si>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</si>
  <si>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</si>
  <si>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</si>
  <si>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</si>
  <si>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</si>
  <si>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</si>
  <si>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</si>
  <si>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</si>
  <si>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</si>
  <si>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</si>
  <si>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</si>
  <si>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</si>
  <si>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</si>
  <si>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</si>
  <si>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</si>
  <si>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</si>
  <si>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</si>
  <si>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</si>
  <si>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</si>
  <si>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</si>
  <si>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</si>
  <si>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</si>
  <si>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</si>
  <si>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</si>
  <si>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</si>
  <si>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</si>
  <si>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</si>
  <si>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</si>
  <si>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</si>
  <si>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</si>
  <si>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</si>
  <si>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</si>
  <si>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</si>
  <si>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</si>
  <si>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</si>
  <si>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</si>
  <si>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</si>
  <si>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</si>
  <si>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</si>
  <si>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</si>
  <si>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</si>
  <si>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</si>
  <si>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</si>
  <si>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</si>
  <si>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</si>
  <si>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</si>
  <si>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</si>
  <si>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</si>
  <si>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</si>
  <si>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</si>
  <si>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</si>
  <si>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</si>
  <si>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</si>
  <si>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</si>
  <si>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</si>
  <si>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</si>
  <si>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</si>
  <si>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</si>
  <si>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</si>
  <si>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</si>
  <si>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</si>
  <si>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</si>
  <si>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</si>
  <si>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</si>
  <si>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</si>
  <si>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</si>
  <si>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</si>
  <si>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</si>
  <si>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</si>
  <si>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</si>
  <si>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</si>
  <si>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</si>
  <si>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</si>
  <si>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</si>
  <si>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</si>
  <si>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</si>
  <si>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</si>
  <si>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</si>
  <si>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</si>
  <si>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</si>
  <si>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</si>
  <si>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</si>
  <si>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</si>
  <si>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</si>
  <si>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</si>
  <si>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</si>
  <si>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</si>
  <si>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</si>
  <si>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</si>
  <si>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</si>
  <si>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</si>
  <si>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</si>
  <si>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</si>
  <si>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</si>
  <si>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</si>
  <si>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</si>
  <si>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</si>
  <si>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</si>
  <si>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</si>
  <si>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</si>
  <si>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</si>
  <si>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</si>
  <si>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</si>
  <si>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</si>
  <si>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</si>
  <si>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</si>
  <si>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</si>
  <si>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</si>
  <si>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</si>
  <si>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</si>
  <si>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</si>
  <si>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</si>
  <si>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</si>
  <si>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</si>
  <si>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</si>
  <si>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</si>
  <si>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</si>
  <si>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</si>
  <si>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</si>
  <si>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</si>
  <si>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</si>
  <si>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</si>
  <si>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</si>
  <si>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</si>
  <si>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</si>
  <si>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</si>
  <si>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</si>
  <si>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</si>
  <si>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</si>
  <si>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</si>
  <si>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</si>
  <si>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</si>
  <si>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</si>
  <si>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</si>
  <si>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</si>
  <si>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</si>
  <si>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</si>
  <si>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</si>
  <si>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</si>
  <si>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</si>
  <si>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</si>
  <si>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</si>
  <si>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</si>
  <si>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</si>
  <si>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</si>
  <si>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</si>
  <si>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</si>
  <si>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</si>
  <si>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</si>
  <si>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</si>
  <si>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</si>
  <si>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</si>
  <si>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</si>
  <si>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</si>
  <si>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</si>
  <si>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</si>
  <si>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</si>
  <si>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</si>
  <si>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</si>
  <si>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</si>
  <si>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</si>
  <si>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</si>
  <si>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</si>
  <si>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</si>
  <si>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</si>
  <si>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</si>
  <si>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</si>
  <si>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</si>
  <si>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</si>
  <si>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</si>
  <si>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</si>
  <si>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</si>
  <si>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</si>
  <si>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</si>
  <si>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</si>
  <si>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</si>
  <si>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</si>
  <si>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</si>
  <si>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</si>
  <si>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</si>
  <si>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</si>
  <si>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</si>
  <si>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</si>
  <si>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</si>
  <si>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</si>
  <si>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</si>
  <si>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</si>
  <si>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</si>
  <si>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</si>
  <si>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</si>
  <si>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</si>
  <si>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</si>
  <si>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</si>
  <si>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</si>
  <si>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</si>
  <si>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</si>
  <si>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</si>
  <si>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</si>
  <si>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</si>
  <si>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</si>
  <si>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</si>
  <si>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</si>
  <si>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</si>
  <si>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</si>
  <si>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</si>
  <si>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</si>
  <si>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</si>
  <si>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</si>
  <si>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</si>
  <si>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</si>
  <si>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</si>
  <si>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</si>
  <si>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</si>
  <si>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</si>
  <si>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</si>
  <si>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</si>
  <si>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</si>
  <si>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</si>
  <si>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</si>
  <si>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</si>
  <si>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</si>
  <si>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</si>
  <si>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</si>
  <si>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</si>
  <si>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</si>
  <si>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</si>
  <si>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</si>
  <si>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</si>
  <si>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</si>
  <si>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</si>
  <si>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</si>
  <si>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</si>
  <si>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</si>
  <si>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</si>
  <si>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</si>
  <si>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</si>
  <si>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</si>
  <si>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</si>
  <si>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</si>
  <si>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</si>
  <si>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</si>
  <si>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</si>
  <si>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</si>
  <si>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</si>
  <si>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</si>
  <si>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</si>
  <si>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</si>
  <si>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</si>
  <si>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</si>
  <si>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</si>
  <si>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</si>
  <si>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</si>
  <si>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</si>
  <si>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</si>
  <si>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</si>
  <si>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</si>
  <si>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</si>
  <si>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</si>
  <si>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</si>
  <si>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</si>
  <si>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</si>
  <si>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</si>
  <si>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</si>
  <si>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</si>
  <si>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</si>
  <si>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</si>
  <si>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</si>
  <si>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</si>
  <si>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</si>
  <si>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</si>
  <si>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</si>
  <si>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</si>
  <si>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</si>
  <si>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</si>
  <si>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</si>
  <si>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</si>
  <si>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</si>
  <si>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</si>
  <si>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</si>
  <si>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</si>
  <si>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</si>
  <si>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</si>
  <si>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</si>
  <si>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</si>
  <si>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</si>
  <si>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</si>
  <si>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</si>
  <si>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</si>
  <si>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</si>
  <si>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</si>
  <si>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</si>
  <si>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</si>
  <si>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</si>
  <si>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</si>
  <si>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</si>
  <si>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</si>
  <si>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</si>
  <si>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</si>
  <si>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</si>
  <si>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</si>
  <si>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</si>
  <si>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</si>
  <si>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</si>
  <si>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</si>
  <si>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</si>
  <si>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</si>
  <si>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</si>
  <si>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</si>
  <si>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</si>
  <si>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</si>
  <si>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</si>
  <si>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</si>
  <si>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</si>
  <si>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</si>
  <si>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</si>
  <si>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</si>
  <si>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</si>
  <si>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</si>
  <si>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</si>
  <si>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</si>
  <si>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</si>
  <si>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</si>
  <si>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</si>
  <si>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</si>
  <si>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</si>
  <si>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</si>
  <si>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</si>
  <si>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</si>
  <si>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</si>
  <si>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</si>
  <si>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</si>
  <si>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</si>
  <si>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</si>
  <si>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</si>
  <si>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</si>
  <si>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</si>
  <si>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</si>
  <si>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</si>
  <si>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</si>
  <si>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</si>
  <si>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</si>
  <si>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</si>
  <si>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</si>
  <si>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</si>
  <si>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</si>
  <si>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</si>
  <si>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</si>
  <si>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</si>
  <si>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</si>
  <si>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</si>
  <si>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</si>
  <si>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</si>
  <si>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</si>
  <si>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</si>
  <si>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</si>
  <si>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</si>
  <si>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</si>
  <si>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</si>
  <si>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</si>
  <si>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</si>
  <si>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</si>
  <si>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</si>
  <si>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</si>
  <si>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</si>
  <si>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</si>
  <si>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</si>
  <si>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</si>
  <si>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</si>
  <si>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</si>
  <si>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</si>
  <si>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</si>
  <si>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</si>
  <si>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</si>
  <si>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</si>
  <si>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</si>
  <si>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</si>
  <si>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</si>
  <si>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</si>
  <si>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</si>
  <si>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</si>
  <si>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</si>
  <si>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</si>
  <si>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</si>
  <si>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</si>
  <si>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</si>
  <si>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</si>
  <si>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</si>
  <si>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</si>
  <si>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</si>
  <si>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</si>
  <si>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</si>
  <si>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</si>
  <si>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</si>
  <si>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</si>
  <si>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</si>
  <si>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</si>
  <si>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</si>
  <si>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</si>
  <si>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</si>
  <si>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</si>
  <si>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</si>
  <si>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</si>
  <si>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</si>
  <si>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</si>
  <si>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</si>
  <si>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</si>
  <si>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</si>
  <si>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</si>
  <si>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</si>
  <si>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</si>
  <si>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</si>
  <si>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</si>
  <si>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</si>
  <si>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</si>
  <si>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</si>
  <si>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</si>
  <si>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</si>
  <si>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</si>
  <si>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</si>
  <si>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</si>
  <si>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</si>
  <si>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</si>
  <si>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</si>
  <si>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</si>
  <si>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</si>
  <si>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</si>
  <si>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</si>
  <si>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</si>
  <si>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</si>
  <si>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</si>
  <si>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</si>
  <si>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</si>
  <si>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</si>
  <si>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</si>
  <si>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</si>
  <si>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</si>
  <si>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</si>
  <si>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</si>
  <si>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</si>
  <si>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</si>
  <si>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</si>
  <si>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</si>
  <si>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</si>
  <si>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</si>
  <si>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</si>
  <si>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</si>
  <si>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</si>
  <si>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</si>
  <si>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</si>
  <si>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</si>
  <si>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</si>
  <si>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</si>
  <si>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</si>
  <si>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</si>
  <si>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</si>
  <si>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</si>
  <si>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</si>
  <si>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</si>
  <si>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</si>
  <si>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</si>
  <si>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</si>
  <si>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</si>
  <si>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</si>
  <si>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</si>
  <si>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</si>
  <si>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</si>
  <si>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</si>
  <si>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</si>
  <si>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</si>
  <si>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</si>
  <si>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</si>
  <si>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</si>
  <si>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</si>
  <si>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</si>
  <si>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</si>
  <si>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</si>
  <si>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</si>
  <si>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</si>
  <si>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</si>
  <si>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</si>
  <si>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</si>
  <si>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</si>
  <si>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</si>
  <si>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</si>
  <si>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</si>
  <si>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</si>
  <si>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</si>
  <si>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</si>
  <si>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</si>
  <si>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</si>
  <si>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</si>
  <si>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</si>
  <si>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</si>
  <si>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</si>
  <si>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</si>
  <si>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</si>
  <si>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</si>
  <si>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</si>
  <si>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</si>
  <si>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</si>
  <si>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</si>
  <si>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</si>
  <si>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</si>
  <si>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</si>
  <si>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</si>
  <si>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</si>
  <si>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</si>
  <si>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</si>
  <si>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</si>
  <si>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</si>
  <si>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</si>
  <si>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</si>
  <si>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</si>
  <si>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</si>
  <si>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</si>
  <si>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</si>
  <si>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</si>
  <si>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</si>
  <si>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</si>
  <si>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</si>
  <si>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</si>
  <si>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</si>
  <si>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</si>
  <si>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</si>
  <si>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</si>
  <si>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</si>
  <si>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</si>
  <si>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</si>
  <si>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</si>
  <si>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</si>
  <si>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</si>
  <si>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</si>
  <si>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</si>
  <si>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</si>
  <si>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</si>
  <si>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</si>
  <si>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</si>
  <si>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</si>
  <si>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</si>
  <si>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</si>
  <si>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</si>
  <si>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</si>
  <si>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</si>
  <si>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</si>
  <si>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</si>
  <si>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</si>
  <si>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</si>
  <si>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</si>
  <si>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</si>
  <si>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</si>
  <si>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</si>
  <si>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</si>
  <si>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</si>
  <si>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</si>
  <si>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</si>
  <si>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</si>
  <si>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</si>
  <si>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</si>
  <si>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</si>
  <si>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</si>
  <si>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</si>
  <si>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</si>
  <si>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</si>
  <si>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</si>
  <si>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</si>
  <si>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</si>
  <si>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</si>
  <si>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</si>
  <si>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</si>
  <si>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</si>
  <si>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</si>
  <si>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</si>
  <si>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</si>
  <si>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</si>
  <si>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</si>
  <si>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</si>
  <si>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</si>
  <si>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</si>
  <si>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</si>
  <si>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</si>
  <si>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</si>
  <si>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</si>
  <si>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</si>
  <si>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</si>
  <si>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</si>
  <si>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</si>
  <si>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</si>
  <si>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</si>
  <si>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</si>
  <si>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</si>
  <si>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</si>
  <si>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</si>
  <si>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</si>
  <si>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</si>
  <si>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</si>
  <si>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</si>
  <si>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</si>
  <si>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</si>
  <si>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</si>
  <si>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</si>
  <si>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</si>
  <si>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</si>
  <si>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</si>
  <si>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</si>
  <si>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</si>
  <si>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</si>
  <si>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</si>
  <si>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</si>
  <si>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</si>
  <si>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</si>
  <si>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</si>
  <si>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</si>
  <si>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</si>
  <si>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</si>
  <si>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</si>
  <si>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</si>
  <si>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</si>
  <si>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</si>
  <si>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</si>
  <si>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</si>
  <si>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</si>
  <si>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</si>
  <si>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</si>
  <si>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</si>
  <si>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</si>
  <si>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</si>
  <si>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</si>
  <si>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</si>
  <si>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</si>
  <si>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</si>
  <si>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</si>
  <si>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</si>
  <si>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</si>
  <si>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</si>
  <si>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</si>
  <si>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</si>
  <si>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</si>
  <si>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</si>
  <si>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</si>
  <si>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</si>
  <si>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</si>
  <si>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</si>
  <si>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</si>
  <si>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</si>
  <si>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</si>
  <si>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</si>
  <si>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</si>
  <si>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</si>
  <si>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</si>
  <si>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</si>
  <si>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</si>
  <si>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</si>
  <si>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</si>
  <si>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</si>
  <si>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</si>
  <si>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</si>
  <si>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</si>
  <si>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</si>
  <si>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</si>
  <si>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</si>
  <si>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</si>
  <si>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</si>
  <si>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</si>
  <si>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</si>
  <si>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</si>
  <si>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</si>
  <si>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</si>
  <si>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</si>
  <si>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</si>
  <si>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</si>
  <si>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</si>
  <si>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</si>
  <si>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</si>
  <si>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</si>
  <si>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</si>
  <si>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</si>
  <si>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</si>
  <si>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</si>
  <si>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</si>
  <si>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</si>
  <si>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</si>
  <si>
    <t>WK_AO資材納期情報</t>
  </si>
  <si>
    <t>№</t>
    <phoneticPr fontId="3"/>
  </si>
  <si>
    <t>①</t>
    <phoneticPr fontId="3"/>
  </si>
  <si>
    <t>⑤</t>
    <phoneticPr fontId="3"/>
  </si>
  <si>
    <t>商品コード</t>
  </si>
  <si>
    <t>部材名1</t>
  </si>
  <si>
    <t>製品名</t>
  </si>
  <si>
    <t>直送方法</t>
  </si>
  <si>
    <t>直送先</t>
  </si>
  <si>
    <t>直送先住所</t>
  </si>
  <si>
    <t>直送先担当者</t>
  </si>
  <si>
    <t>直送先TEL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</si>
  <si>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</si>
  <si>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</si>
  <si>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</si>
  <si>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</si>
  <si>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</si>
  <si>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</si>
  <si>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</si>
  <si>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</si>
  <si>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</si>
  <si>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入荷日</t>
  </si>
  <si>
    <t>部材コード</t>
  </si>
  <si>
    <t>WK_資材納期</t>
  </si>
  <si>
    <t>2.8.0 ADD</t>
  </si>
  <si>
    <t>ガラス入荷日</t>
  </si>
  <si>
    <t>ルーバー入荷日</t>
  </si>
  <si>
    <t>その他入荷日</t>
  </si>
  <si>
    <t>出荷金物入荷日</t>
  </si>
  <si>
    <t>資材納期</t>
  </si>
  <si>
    <t>ライン3数量</t>
  </si>
  <si>
    <t>2.10.0　追加（特注ライン台車数）</t>
    <rPh sb="7" eb="9">
      <t>ツイカ</t>
    </rPh>
    <rPh sb="10" eb="12">
      <t>トクチュウ</t>
    </rPh>
    <rPh sb="15" eb="17">
      <t>ダイシャ</t>
    </rPh>
    <rPh sb="17" eb="18">
      <t>スウ</t>
    </rPh>
    <phoneticPr fontId="3"/>
  </si>
  <si>
    <t>作業工数</t>
  </si>
  <si>
    <t>2.10.0</t>
    <phoneticPr fontId="3"/>
  </si>
  <si>
    <t>ガラス入荷日</t>
    <rPh sb="3" eb="5">
      <t>ニュウカ</t>
    </rPh>
    <rPh sb="5" eb="6">
      <t>ビ</t>
    </rPh>
    <phoneticPr fontId="3"/>
  </si>
  <si>
    <t>ルーバー入荷日</t>
    <rPh sb="4" eb="6">
      <t>ニュウカ</t>
    </rPh>
    <rPh sb="6" eb="7">
      <t>ビ</t>
    </rPh>
    <phoneticPr fontId="3"/>
  </si>
  <si>
    <t>その他入荷日</t>
    <rPh sb="2" eb="3">
      <t>タ</t>
    </rPh>
    <rPh sb="3" eb="5">
      <t>ニュウカ</t>
    </rPh>
    <rPh sb="5" eb="6">
      <t>ビ</t>
    </rPh>
    <phoneticPr fontId="3"/>
  </si>
  <si>
    <t>出荷金物入荷日</t>
    <rPh sb="0" eb="2">
      <t>シュッカ</t>
    </rPh>
    <rPh sb="2" eb="4">
      <t>カナモノ</t>
    </rPh>
    <rPh sb="4" eb="6">
      <t>ニュウカ</t>
    </rPh>
    <rPh sb="6" eb="7">
      <t>ビ</t>
    </rPh>
    <phoneticPr fontId="3"/>
  </si>
  <si>
    <t>作業工数</t>
    <rPh sb="0" eb="2">
      <t>サギョウ</t>
    </rPh>
    <rPh sb="2" eb="4">
      <t>コウスウ</t>
    </rPh>
    <phoneticPr fontId="3"/>
  </si>
  <si>
    <t>2.10.0</t>
    <phoneticPr fontId="3"/>
  </si>
  <si>
    <t>2.11.0</t>
    <phoneticPr fontId="3"/>
  </si>
  <si>
    <t>特注下地材品番</t>
  </si>
  <si>
    <t>製造表示下地材品番</t>
  </si>
  <si>
    <t>下地材欠品FLG</t>
  </si>
  <si>
    <t>下地枠設計備考</t>
  </si>
  <si>
    <t>下がり壁</t>
  </si>
  <si>
    <t>下枠色</t>
  </si>
  <si>
    <t>壁厚</t>
  </si>
  <si>
    <t>H種類</t>
  </si>
  <si>
    <t>W種類</t>
  </si>
  <si>
    <t>巾木種類</t>
  </si>
  <si>
    <t>面取記号</t>
  </si>
  <si>
    <t>帳票出力日時</t>
  </si>
  <si>
    <t>WK_製造指示書ウォールスルー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</si>
</sst>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8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0" fillId="0" borderId="0" xfId="0"/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X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T_出力レポート"/>
      <sheetName val="WK_AO資材納期情報"/>
      <sheetName val="WK_Calendar_業務"/>
      <sheetName val="WK_Calendar_工場"/>
      <sheetName val="WK_FullHeightライン指示"/>
      <sheetName val="WK_Status"/>
      <sheetName val="WK_SxL品番読替表"/>
      <sheetName val="WK_アラジン用データ_製造日"/>
      <sheetName val="WK_チェックリスト"/>
      <sheetName val="WK_フルハイトライン製造数邸別"/>
      <sheetName val="WK_ラベル"/>
      <sheetName val="WK_縁張りコード表"/>
      <sheetName val="WK_契約番号"/>
      <sheetName val="WK_建具製造リスト_FullHeight"/>
      <sheetName val="WK_工程表_建具"/>
      <sheetName val="WK_工程表データ"/>
      <sheetName val="WK_札データ"/>
      <sheetName val="WK_札データ_集計"/>
      <sheetName val="WK_札データ_備考"/>
      <sheetName val="WK_札台帳データ"/>
      <sheetName val="WK_資材納期"/>
      <sheetName val="WK_取付金物"/>
      <sheetName val="WK_上枠下地グループ集計"/>
      <sheetName val="WK_新ライン指示データ"/>
      <sheetName val="WK_製造依頼書建具"/>
      <sheetName val="WK_製造依頼書建具_FullHeight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部材展開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" sqref="C1:U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/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54" t="s">
        <v>0</v>
      </c>
      <c r="C3" s="55"/>
      <c r="D3" s="56"/>
      <c r="E3" s="5" t="s">
        <v>53</v>
      </c>
      <c r="F3" s="6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50" t="s">
        <v>2</v>
      </c>
      <c r="AA3" s="51"/>
    </row>
    <row r="4" spans="1:29" s="11" customFormat="1" ht="11.25" customHeight="1" x14ac:dyDescent="0.15">
      <c r="A4" s="73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74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74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74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74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74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74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74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74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74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74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7"/>
      <c r="W14" s="14"/>
      <c r="X14" s="14"/>
      <c r="Y14" s="14"/>
      <c r="Z14" s="15"/>
      <c r="AA14" s="15"/>
    </row>
    <row r="15" spans="1:29" s="11" customFormat="1" x14ac:dyDescent="0.15">
      <c r="A15" s="74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7"/>
      <c r="W15" s="14"/>
      <c r="X15" s="14"/>
      <c r="Y15" s="14"/>
      <c r="Z15" s="15"/>
      <c r="AA15" s="15"/>
    </row>
    <row r="16" spans="1:29" s="11" customFormat="1" x14ac:dyDescent="0.15">
      <c r="A16" s="74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7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7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7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7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7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7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54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65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67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236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68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75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176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71" t="s">
        <v>484</v>
      </c>
      <c r="C11" s="71"/>
      <c r="D11" s="71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71" t="s">
        <v>484</v>
      </c>
      <c r="C16" s="71"/>
      <c r="D16" s="71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733</v>
      </c>
      <c r="V27" s="17" t="s">
        <v>63</v>
      </c>
      <c r="W27" s="9"/>
      <c r="X27" s="9" t="s">
        <v>64</v>
      </c>
      <c r="Y27" s="9" t="s">
        <v>64</v>
      </c>
      <c r="Z27" s="15" t="s">
        <v>739</v>
      </c>
    </row>
    <row r="28" spans="1:27" x14ac:dyDescent="0.15">
      <c r="A28" s="11">
        <f t="shared" si="0"/>
        <v>24</v>
      </c>
      <c r="E28" s="11" t="s">
        <v>734</v>
      </c>
      <c r="V28" s="17" t="s">
        <v>63</v>
      </c>
      <c r="W28" s="9"/>
      <c r="X28" s="9" t="s">
        <v>64</v>
      </c>
      <c r="Y28" s="9" t="s">
        <v>64</v>
      </c>
      <c r="Z28" s="15" t="s">
        <v>739</v>
      </c>
    </row>
    <row r="29" spans="1:27" x14ac:dyDescent="0.15">
      <c r="A29" s="11">
        <f t="shared" si="0"/>
        <v>25</v>
      </c>
      <c r="E29" s="11" t="s">
        <v>735</v>
      </c>
      <c r="V29" s="17" t="s">
        <v>63</v>
      </c>
      <c r="W29" s="9"/>
      <c r="X29" s="9" t="s">
        <v>64</v>
      </c>
      <c r="Y29" s="9" t="s">
        <v>64</v>
      </c>
      <c r="Z29" s="15" t="s">
        <v>739</v>
      </c>
    </row>
    <row r="30" spans="1:27" x14ac:dyDescent="0.15">
      <c r="A30" s="11">
        <f t="shared" si="0"/>
        <v>26</v>
      </c>
      <c r="E30" s="11" t="s">
        <v>736</v>
      </c>
      <c r="V30" s="17" t="s">
        <v>63</v>
      </c>
      <c r="W30" s="9"/>
      <c r="X30" s="9" t="s">
        <v>64</v>
      </c>
      <c r="Y30" s="9" t="s">
        <v>64</v>
      </c>
      <c r="Z30" s="15" t="s">
        <v>739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C17:D65536 B1:B4 C1:U1 B9:B65536 C3:D10 C12:D15 Z4:AA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90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2" t="s">
        <v>253</v>
      </c>
      <c r="C33" s="72"/>
      <c r="D33" s="72"/>
      <c r="E33" s="11" t="s">
        <v>175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2" t="s">
        <v>723</v>
      </c>
      <c r="C34" s="43"/>
      <c r="D34" s="43"/>
      <c r="E34" s="11" t="s">
        <v>724</v>
      </c>
      <c r="V34" s="43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B35" s="52"/>
      <c r="C35" s="43"/>
      <c r="D35" s="43"/>
      <c r="E35" s="11" t="s">
        <v>725</v>
      </c>
      <c r="V35" s="43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B36" s="52"/>
      <c r="C36" s="43"/>
      <c r="D36" s="43"/>
      <c r="E36" s="11" t="s">
        <v>726</v>
      </c>
      <c r="V36" s="43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B37" s="52"/>
      <c r="C37" s="43"/>
      <c r="D37" s="43"/>
      <c r="E37" s="11" t="s">
        <v>727</v>
      </c>
      <c r="V37" s="43" t="s">
        <v>63</v>
      </c>
      <c r="X37" s="14" t="s">
        <v>64</v>
      </c>
      <c r="Y37" s="14" t="s">
        <v>64</v>
      </c>
    </row>
  </sheetData>
  <mergeCells count="12">
    <mergeCell ref="B34:B37"/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4:D65536 C3:D32 B9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113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44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B40" s="52" t="s">
        <v>723</v>
      </c>
      <c r="C40" s="43"/>
      <c r="D40" s="43"/>
      <c r="E40" s="11" t="s">
        <v>724</v>
      </c>
      <c r="V40" s="43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B41" s="52"/>
      <c r="C41" s="43"/>
      <c r="D41" s="43"/>
      <c r="E41" s="11" t="s">
        <v>725</v>
      </c>
      <c r="V41" s="43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B42" s="52"/>
      <c r="C42" s="43"/>
      <c r="D42" s="43"/>
      <c r="E42" s="11" t="s">
        <v>726</v>
      </c>
      <c r="V42" s="43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B43" s="52"/>
      <c r="C43" s="43"/>
      <c r="D43" s="43"/>
      <c r="E43" s="11" t="s">
        <v>727</v>
      </c>
      <c r="V43" s="43" t="s">
        <v>63</v>
      </c>
      <c r="X43" s="14" t="s">
        <v>64</v>
      </c>
      <c r="Y43" s="14" t="s">
        <v>64</v>
      </c>
    </row>
    <row r="44" spans="1:25" x14ac:dyDescent="0.15">
      <c r="A44" s="11">
        <f t="shared" si="0"/>
        <v>40</v>
      </c>
      <c r="B44" s="52"/>
      <c r="C44" s="43"/>
      <c r="D44" s="43"/>
      <c r="E44" s="11" t="s">
        <v>728</v>
      </c>
      <c r="V44" s="43" t="s">
        <v>56</v>
      </c>
      <c r="W44" s="14">
        <v>100</v>
      </c>
      <c r="X44" s="14" t="s">
        <v>60</v>
      </c>
      <c r="Y44" s="14" t="s">
        <v>58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39 B45:D65536 C40:D44 B40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255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181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256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119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52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52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72" t="s">
        <v>654</v>
      </c>
      <c r="C32" s="72"/>
      <c r="D32" s="72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138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139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144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216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147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273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224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330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289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292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6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6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6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6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  <row r="36" spans="1:26" x14ac:dyDescent="0.15">
      <c r="A36" s="11">
        <f t="shared" si="0"/>
        <v>32</v>
      </c>
      <c r="E36" s="11" t="s">
        <v>737</v>
      </c>
      <c r="V36" s="46" t="s">
        <v>80</v>
      </c>
      <c r="X36" s="14" t="s">
        <v>60</v>
      </c>
      <c r="Y36" s="14" t="s">
        <v>64</v>
      </c>
      <c r="Z36" s="15" t="s">
        <v>738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301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308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2" t="s">
        <v>318</v>
      </c>
      <c r="C24" s="72"/>
      <c r="D24" s="72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2" t="s">
        <v>320</v>
      </c>
      <c r="C25" s="72"/>
      <c r="D25" s="72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324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5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336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70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6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6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6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6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6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6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6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6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6" x14ac:dyDescent="0.15">
      <c r="A169" s="11">
        <f t="shared" si="4"/>
        <v>165</v>
      </c>
      <c r="B169" s="44"/>
      <c r="C169" s="44"/>
      <c r="D169" s="44"/>
      <c r="E169" s="11" t="s">
        <v>729</v>
      </c>
      <c r="V169" s="44" t="s">
        <v>80</v>
      </c>
      <c r="X169" s="14" t="s">
        <v>60</v>
      </c>
      <c r="Y169" s="14" t="s">
        <v>64</v>
      </c>
      <c r="Z169" s="15" t="s">
        <v>730</v>
      </c>
    </row>
    <row r="170" spans="1:26" x14ac:dyDescent="0.15">
      <c r="A170" s="11">
        <f t="shared" si="4"/>
        <v>166</v>
      </c>
      <c r="E170" s="11" t="s">
        <v>474</v>
      </c>
      <c r="V170" s="28" t="s">
        <v>89</v>
      </c>
      <c r="X170" s="14" t="s">
        <v>60</v>
      </c>
      <c r="Y170" s="14" t="s">
        <v>64</v>
      </c>
    </row>
    <row r="171" spans="1:26" x14ac:dyDescent="0.15">
      <c r="A171" s="11">
        <f t="shared" ref="A171:A185" si="5">ROW()-4</f>
        <v>167</v>
      </c>
      <c r="E171" s="11" t="s">
        <v>475</v>
      </c>
      <c r="V171" s="28" t="s">
        <v>56</v>
      </c>
      <c r="W171" s="14">
        <v>255</v>
      </c>
      <c r="X171" s="14" t="s">
        <v>60</v>
      </c>
      <c r="Y171" s="14" t="s">
        <v>58</v>
      </c>
    </row>
    <row r="172" spans="1:26" x14ac:dyDescent="0.15">
      <c r="A172" s="11">
        <f t="shared" si="5"/>
        <v>168</v>
      </c>
      <c r="E172" s="11" t="s">
        <v>476</v>
      </c>
      <c r="V172" s="28" t="s">
        <v>89</v>
      </c>
      <c r="X172" s="14" t="s">
        <v>60</v>
      </c>
      <c r="Y172" s="14" t="s">
        <v>64</v>
      </c>
    </row>
    <row r="173" spans="1:26" x14ac:dyDescent="0.15">
      <c r="A173" s="11">
        <f t="shared" si="5"/>
        <v>169</v>
      </c>
      <c r="E173" s="11" t="s">
        <v>477</v>
      </c>
      <c r="V173" s="28" t="s">
        <v>89</v>
      </c>
      <c r="X173" s="14" t="s">
        <v>60</v>
      </c>
      <c r="Y173" s="14" t="s">
        <v>64</v>
      </c>
    </row>
    <row r="174" spans="1:26" x14ac:dyDescent="0.15">
      <c r="A174" s="11">
        <f t="shared" si="5"/>
        <v>170</v>
      </c>
      <c r="E174" s="11" t="s">
        <v>478</v>
      </c>
      <c r="V174" s="28" t="s">
        <v>63</v>
      </c>
      <c r="X174" s="14" t="s">
        <v>64</v>
      </c>
      <c r="Y174" s="14" t="s">
        <v>64</v>
      </c>
    </row>
    <row r="175" spans="1:26" x14ac:dyDescent="0.15">
      <c r="A175" s="11">
        <f t="shared" si="5"/>
        <v>171</v>
      </c>
      <c r="E175" s="11" t="s">
        <v>479</v>
      </c>
      <c r="V175" s="28" t="s">
        <v>56</v>
      </c>
      <c r="W175" s="14">
        <v>50</v>
      </c>
      <c r="X175" s="14" t="s">
        <v>60</v>
      </c>
      <c r="Y175" s="14" t="s">
        <v>58</v>
      </c>
    </row>
    <row r="176" spans="1:26" x14ac:dyDescent="0.15">
      <c r="A176" s="11">
        <f t="shared" si="5"/>
        <v>172</v>
      </c>
      <c r="E176" s="11" t="s">
        <v>480</v>
      </c>
      <c r="V176" s="28" t="s">
        <v>56</v>
      </c>
      <c r="W176" s="14">
        <v>255</v>
      </c>
      <c r="X176" s="14" t="s">
        <v>60</v>
      </c>
      <c r="Y176" s="14" t="s">
        <v>58</v>
      </c>
    </row>
    <row r="177" spans="1:26" x14ac:dyDescent="0.15">
      <c r="A177" s="11">
        <f t="shared" si="5"/>
        <v>173</v>
      </c>
      <c r="E177" s="11" t="s">
        <v>157</v>
      </c>
      <c r="V177" s="28" t="s">
        <v>63</v>
      </c>
      <c r="X177" s="14" t="s">
        <v>64</v>
      </c>
      <c r="Y177" s="14" t="s">
        <v>64</v>
      </c>
    </row>
    <row r="178" spans="1:26" x14ac:dyDescent="0.15">
      <c r="A178" s="11">
        <f t="shared" si="5"/>
        <v>174</v>
      </c>
      <c r="E178" s="11" t="s">
        <v>311</v>
      </c>
      <c r="V178" s="28" t="s">
        <v>56</v>
      </c>
      <c r="W178" s="14">
        <v>255</v>
      </c>
      <c r="X178" s="14" t="s">
        <v>60</v>
      </c>
      <c r="Y178" s="14" t="s">
        <v>58</v>
      </c>
    </row>
    <row r="179" spans="1:26" x14ac:dyDescent="0.15">
      <c r="A179" s="11">
        <f t="shared" si="5"/>
        <v>175</v>
      </c>
      <c r="E179" s="11" t="s">
        <v>481</v>
      </c>
      <c r="V179" s="28" t="s">
        <v>80</v>
      </c>
      <c r="X179" s="14" t="s">
        <v>60</v>
      </c>
      <c r="Y179" s="14" t="s">
        <v>64</v>
      </c>
    </row>
    <row r="180" spans="1:26" x14ac:dyDescent="0.15">
      <c r="A180" s="11">
        <f t="shared" si="5"/>
        <v>176</v>
      </c>
      <c r="E180" s="11" t="s">
        <v>482</v>
      </c>
      <c r="V180" s="28" t="s">
        <v>89</v>
      </c>
      <c r="X180" s="14" t="s">
        <v>60</v>
      </c>
      <c r="Y180" s="14" t="s">
        <v>64</v>
      </c>
    </row>
    <row r="181" spans="1:26" x14ac:dyDescent="0.15">
      <c r="A181" s="11">
        <f t="shared" si="5"/>
        <v>177</v>
      </c>
      <c r="E181" s="11" t="s">
        <v>95</v>
      </c>
      <c r="V181" s="28" t="s">
        <v>80</v>
      </c>
      <c r="X181" s="14" t="s">
        <v>60</v>
      </c>
      <c r="Y181" s="14" t="s">
        <v>64</v>
      </c>
    </row>
    <row r="182" spans="1:26" x14ac:dyDescent="0.15">
      <c r="A182" s="11">
        <f t="shared" si="5"/>
        <v>178</v>
      </c>
      <c r="E182" s="11" t="s">
        <v>322</v>
      </c>
      <c r="V182" s="28" t="s">
        <v>56</v>
      </c>
      <c r="W182" s="14">
        <v>1</v>
      </c>
      <c r="X182" s="14" t="s">
        <v>60</v>
      </c>
      <c r="Y182" s="14" t="s">
        <v>58</v>
      </c>
    </row>
    <row r="183" spans="1:26" x14ac:dyDescent="0.15">
      <c r="A183" s="11">
        <f t="shared" si="5"/>
        <v>179</v>
      </c>
      <c r="E183" s="11" t="s">
        <v>483</v>
      </c>
      <c r="V183" s="28" t="s">
        <v>80</v>
      </c>
      <c r="X183" s="14" t="s">
        <v>60</v>
      </c>
      <c r="Y183" s="14" t="s">
        <v>64</v>
      </c>
    </row>
    <row r="184" spans="1:26" x14ac:dyDescent="0.15">
      <c r="A184" s="11">
        <f t="shared" si="5"/>
        <v>180</v>
      </c>
      <c r="E184" s="11" t="s">
        <v>98</v>
      </c>
      <c r="V184" s="28" t="s">
        <v>63</v>
      </c>
      <c r="X184" s="14" t="s">
        <v>64</v>
      </c>
      <c r="Y184" s="14" t="s">
        <v>64</v>
      </c>
    </row>
    <row r="185" spans="1:26" x14ac:dyDescent="0.15">
      <c r="A185" s="11">
        <f t="shared" si="5"/>
        <v>181</v>
      </c>
      <c r="E185" s="11" t="s">
        <v>731</v>
      </c>
      <c r="V185" s="45" t="s">
        <v>80</v>
      </c>
      <c r="X185" s="14" t="s">
        <v>60</v>
      </c>
      <c r="Y185" s="14" t="s">
        <v>64</v>
      </c>
      <c r="Z185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3 A1:A1048576"/>
    <dataValidation type="whole" imeMode="off" operator="greaterThanOrEqual" allowBlank="1" showInputMessage="1" showErrorMessage="1" sqref="W3:W65543 F2:U65543">
      <formula1>1</formula1>
    </dataValidation>
    <dataValidation type="list" imeMode="on" allowBlank="1" showInputMessage="1" showErrorMessage="1" sqref="X4:X65543">
      <formula1>INDIRECT($AC$1,FALSE)</formula1>
    </dataValidation>
    <dataValidation type="list" allowBlank="1" showInputMessage="1" showErrorMessage="1" sqref="Y4:Y65543">
      <formula1>INDIRECT($AC$2,FALSE)</formula1>
    </dataValidation>
    <dataValidation type="list" allowBlank="1" showInputMessage="1" showErrorMessage="1" sqref="V4:V65543">
      <formula1>INDIRECT($AB$1,FALSE)</formula1>
    </dataValidation>
    <dataValidation imeMode="on" allowBlank="1" showInputMessage="1" showErrorMessage="1" sqref="W1:AA2 C1:U1 C3:D9 B9 B1:B4 B10:D65543 Z4:AA65543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488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 t="s">
        <v>496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495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71" t="s">
        <v>76</v>
      </c>
      <c r="C5" s="71"/>
      <c r="D5" s="71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71" t="s">
        <v>77</v>
      </c>
      <c r="C6" s="71"/>
      <c r="D6" s="71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71" t="s">
        <v>78</v>
      </c>
      <c r="C7" s="71"/>
      <c r="D7" s="71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71" t="s">
        <v>79</v>
      </c>
      <c r="C8" s="71"/>
      <c r="D8" s="71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71" t="s">
        <v>497</v>
      </c>
      <c r="C9" s="71"/>
      <c r="D9" s="71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71" t="s">
        <v>498</v>
      </c>
      <c r="C10" s="71"/>
      <c r="D10" s="71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71" t="s">
        <v>341</v>
      </c>
      <c r="C11" s="71"/>
      <c r="D11" s="71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71" t="s">
        <v>342</v>
      </c>
      <c r="C12" s="71"/>
      <c r="D12" s="71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71" t="s">
        <v>343</v>
      </c>
      <c r="C13" s="71"/>
      <c r="D13" s="71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71" t="s">
        <v>73</v>
      </c>
      <c r="C14" s="71"/>
      <c r="D14" s="71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71" t="s">
        <v>71</v>
      </c>
      <c r="C15" s="71"/>
      <c r="D15" s="71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71" t="s">
        <v>499</v>
      </c>
      <c r="C16" s="71"/>
      <c r="D16" s="71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72" t="s">
        <v>313</v>
      </c>
      <c r="C17" s="72"/>
      <c r="D17" s="72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72" t="s">
        <v>226</v>
      </c>
      <c r="C18" s="72"/>
      <c r="D18" s="72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72" t="s">
        <v>500</v>
      </c>
      <c r="C19" s="72"/>
      <c r="D19" s="72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72" t="s">
        <v>501</v>
      </c>
      <c r="C20" s="72"/>
      <c r="D20" s="72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72" t="s">
        <v>372</v>
      </c>
      <c r="C21" s="72"/>
      <c r="D21" s="72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72" t="s">
        <v>503</v>
      </c>
      <c r="C22" s="72"/>
      <c r="D22" s="72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72" t="s">
        <v>504</v>
      </c>
      <c r="C23" s="72"/>
      <c r="D23" s="72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2" t="s">
        <v>506</v>
      </c>
      <c r="C24" s="72"/>
      <c r="D24" s="72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2" t="s">
        <v>508</v>
      </c>
      <c r="C25" s="72"/>
      <c r="D25" s="72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72" t="s">
        <v>371</v>
      </c>
      <c r="C26" s="72"/>
      <c r="D26" s="72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72" t="s">
        <v>509</v>
      </c>
      <c r="C27" s="72"/>
      <c r="D27" s="72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72" t="s">
        <v>510</v>
      </c>
      <c r="C28" s="72"/>
      <c r="D28" s="72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72" t="s">
        <v>511</v>
      </c>
      <c r="C29" s="72"/>
      <c r="D29" s="72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72" t="s">
        <v>512</v>
      </c>
      <c r="C30" s="72"/>
      <c r="D30" s="72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72" t="s">
        <v>514</v>
      </c>
      <c r="C31" s="72"/>
      <c r="D31" s="72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72" t="s">
        <v>516</v>
      </c>
      <c r="C32" s="72"/>
      <c r="D32" s="72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2" t="s">
        <v>518</v>
      </c>
      <c r="C33" s="72"/>
      <c r="D33" s="72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72" t="s">
        <v>520</v>
      </c>
      <c r="C34" s="72"/>
      <c r="D34" s="72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72" t="s">
        <v>522</v>
      </c>
      <c r="C35" s="72"/>
      <c r="D35" s="72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72" t="s">
        <v>524</v>
      </c>
      <c r="C36" s="72"/>
      <c r="D36" s="72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72" t="s">
        <v>526</v>
      </c>
      <c r="C37" s="72"/>
      <c r="D37" s="72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72" t="s">
        <v>528</v>
      </c>
      <c r="C38" s="72"/>
      <c r="D38" s="72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72" t="s">
        <v>530</v>
      </c>
      <c r="C39" s="72"/>
      <c r="D39" s="72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72" t="s">
        <v>532</v>
      </c>
      <c r="C40" s="72"/>
      <c r="D40" s="72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72" t="s">
        <v>534</v>
      </c>
      <c r="C41" s="72"/>
      <c r="D41" s="72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72" t="s">
        <v>536</v>
      </c>
      <c r="C42" s="72"/>
      <c r="D42" s="72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72" t="s">
        <v>429</v>
      </c>
      <c r="C43" s="72"/>
      <c r="D43" s="72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72" t="s">
        <v>539</v>
      </c>
      <c r="C44" s="72"/>
      <c r="D44" s="72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72" t="s">
        <v>541</v>
      </c>
      <c r="C45" s="72"/>
      <c r="D45" s="72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72" t="s">
        <v>543</v>
      </c>
      <c r="C46" s="72"/>
      <c r="D46" s="72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72" t="s">
        <v>431</v>
      </c>
      <c r="C47" s="72"/>
      <c r="D47" s="72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72" t="s">
        <v>546</v>
      </c>
      <c r="C48" s="72"/>
      <c r="D48" s="72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72" t="s">
        <v>548</v>
      </c>
      <c r="C49" s="72"/>
      <c r="D49" s="72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72" t="s">
        <v>550</v>
      </c>
      <c r="C50" s="72"/>
      <c r="D50" s="72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72" t="s">
        <v>552</v>
      </c>
      <c r="C51" s="72"/>
      <c r="D51" s="72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72" t="s">
        <v>345</v>
      </c>
      <c r="C52" s="72"/>
      <c r="D52" s="72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72" t="s">
        <v>555</v>
      </c>
      <c r="C53" s="72"/>
      <c r="D53" s="72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72" t="s">
        <v>557</v>
      </c>
      <c r="C54" s="72"/>
      <c r="D54" s="72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72" t="s">
        <v>559</v>
      </c>
      <c r="C55" s="72"/>
      <c r="D55" s="72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72" t="s">
        <v>561</v>
      </c>
      <c r="C56" s="72"/>
      <c r="D56" s="72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72" t="s">
        <v>563</v>
      </c>
      <c r="C57" s="72"/>
      <c r="D57" s="72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72" t="s">
        <v>565</v>
      </c>
      <c r="C58" s="72"/>
      <c r="D58" s="72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72" t="s">
        <v>567</v>
      </c>
      <c r="C59" s="72"/>
      <c r="D59" s="72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72" t="s">
        <v>569</v>
      </c>
      <c r="C60" s="72"/>
      <c r="D60" s="72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72" t="s">
        <v>571</v>
      </c>
      <c r="C61" s="72"/>
      <c r="D61" s="72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72" t="s">
        <v>573</v>
      </c>
      <c r="C62" s="72"/>
      <c r="D62" s="72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72" t="s">
        <v>575</v>
      </c>
      <c r="C63" s="72"/>
      <c r="D63" s="72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72" t="s">
        <v>577</v>
      </c>
      <c r="C64" s="72"/>
      <c r="D64" s="72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72" t="s">
        <v>579</v>
      </c>
      <c r="C65" s="72"/>
      <c r="D65" s="72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72" t="s">
        <v>581</v>
      </c>
      <c r="C66" s="72"/>
      <c r="D66" s="72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72" t="s">
        <v>583</v>
      </c>
      <c r="C67" s="72"/>
      <c r="D67" s="72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72" t="s">
        <v>585</v>
      </c>
      <c r="C68" s="72"/>
      <c r="D68" s="72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72" t="s">
        <v>587</v>
      </c>
      <c r="C69" s="72"/>
      <c r="D69" s="72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72" t="s">
        <v>589</v>
      </c>
      <c r="C70" s="72"/>
      <c r="D70" s="72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72" t="s">
        <v>591</v>
      </c>
      <c r="C71" s="72"/>
      <c r="D71" s="72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72" t="s">
        <v>593</v>
      </c>
      <c r="C72" s="72"/>
      <c r="D72" s="72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72" t="s">
        <v>595</v>
      </c>
      <c r="C73" s="72"/>
      <c r="D73" s="72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72" t="s">
        <v>597</v>
      </c>
      <c r="C74" s="72"/>
      <c r="D74" s="72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72" t="s">
        <v>599</v>
      </c>
      <c r="C75" s="72"/>
      <c r="D75" s="72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72" t="s">
        <v>601</v>
      </c>
      <c r="C76" s="72"/>
      <c r="D76" s="72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72" t="s">
        <v>603</v>
      </c>
      <c r="C77" s="72"/>
      <c r="D77" s="72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72" t="s">
        <v>605</v>
      </c>
      <c r="C78" s="72"/>
      <c r="D78" s="72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72" t="s">
        <v>607</v>
      </c>
      <c r="C79" s="72"/>
      <c r="D79" s="72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72" t="s">
        <v>609</v>
      </c>
      <c r="C80" s="72"/>
      <c r="D80" s="72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72" t="s">
        <v>611</v>
      </c>
      <c r="C81" s="72"/>
      <c r="D81" s="72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72" t="s">
        <v>613</v>
      </c>
      <c r="C82" s="72"/>
      <c r="D82" s="72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72" t="s">
        <v>615</v>
      </c>
      <c r="C83" s="72"/>
      <c r="D83" s="72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72" t="s">
        <v>617</v>
      </c>
      <c r="C84" s="72"/>
      <c r="D84" s="72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72" t="s">
        <v>619</v>
      </c>
      <c r="C85" s="72"/>
      <c r="D85" s="72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72" t="s">
        <v>621</v>
      </c>
      <c r="C86" s="72"/>
      <c r="D86" s="72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72" t="s">
        <v>623</v>
      </c>
      <c r="C87" s="72"/>
      <c r="D87" s="72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72" t="s">
        <v>625</v>
      </c>
      <c r="C88" s="72"/>
      <c r="D88" s="72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72" t="s">
        <v>627</v>
      </c>
      <c r="C89" s="72"/>
      <c r="D89" s="72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72" t="s">
        <v>412</v>
      </c>
      <c r="C90" s="72"/>
      <c r="D90" s="72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72" t="s">
        <v>413</v>
      </c>
      <c r="C91" s="72"/>
      <c r="D91" s="72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72" t="s">
        <v>414</v>
      </c>
      <c r="C92" s="72"/>
      <c r="D92" s="72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72" t="s">
        <v>415</v>
      </c>
      <c r="C93" s="72"/>
      <c r="D93" s="72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72" t="s">
        <v>416</v>
      </c>
      <c r="C94" s="72"/>
      <c r="D94" s="72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72" t="s">
        <v>417</v>
      </c>
      <c r="C95" s="72"/>
      <c r="D95" s="72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72" t="s">
        <v>418</v>
      </c>
      <c r="C96" s="72"/>
      <c r="D96" s="72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72" t="s">
        <v>419</v>
      </c>
      <c r="C97" s="72"/>
      <c r="D97" s="72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72" t="s">
        <v>420</v>
      </c>
      <c r="C98" s="72"/>
      <c r="D98" s="72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72" t="s">
        <v>421</v>
      </c>
      <c r="C99" s="72"/>
      <c r="D99" s="72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72" t="s">
        <v>428</v>
      </c>
      <c r="C100" s="72"/>
      <c r="D100" s="72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72" t="s">
        <v>430</v>
      </c>
      <c r="C101" s="72"/>
      <c r="D101" s="72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72" t="s">
        <v>349</v>
      </c>
      <c r="C102" s="72"/>
      <c r="D102" s="72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72" t="s">
        <v>350</v>
      </c>
      <c r="C103" s="72"/>
      <c r="D103" s="72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72" t="s">
        <v>639</v>
      </c>
      <c r="C104" s="72"/>
      <c r="D104" s="72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72" t="s">
        <v>359</v>
      </c>
      <c r="C105" s="72"/>
      <c r="D105" s="72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72" t="s">
        <v>362</v>
      </c>
      <c r="C106" s="72"/>
      <c r="D106" s="72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72" t="s">
        <v>640</v>
      </c>
      <c r="C107" s="72"/>
      <c r="D107" s="72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72" t="s">
        <v>641</v>
      </c>
      <c r="C108" s="72"/>
      <c r="D108" s="72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72" t="s">
        <v>642</v>
      </c>
      <c r="C109" s="72"/>
      <c r="D109" s="72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72" t="s">
        <v>98</v>
      </c>
      <c r="C110" s="72"/>
      <c r="D110" s="72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643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7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653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7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6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6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6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6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6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6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6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6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  <row r="57" spans="1:26" x14ac:dyDescent="0.15">
      <c r="A57" s="11">
        <f t="shared" si="1"/>
        <v>53</v>
      </c>
      <c r="E57" s="11" t="s">
        <v>731</v>
      </c>
      <c r="V57" s="45" t="s">
        <v>80</v>
      </c>
      <c r="X57" s="14" t="s">
        <v>60</v>
      </c>
      <c r="Y57" s="14" t="s">
        <v>64</v>
      </c>
      <c r="Z57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656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4" t="s">
        <v>0</v>
      </c>
      <c r="C3" s="55"/>
      <c r="D3" s="56"/>
      <c r="E3" s="25" t="s">
        <v>53</v>
      </c>
      <c r="F3" s="6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682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54" t="s">
        <v>0</v>
      </c>
      <c r="C3" s="55"/>
      <c r="D3" s="56"/>
      <c r="E3" s="32" t="s">
        <v>53</v>
      </c>
      <c r="F3" s="66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699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700</v>
      </c>
      <c r="B3" s="54" t="s">
        <v>0</v>
      </c>
      <c r="C3" s="55"/>
      <c r="D3" s="56"/>
      <c r="E3" s="39" t="s">
        <v>53</v>
      </c>
      <c r="F3" s="66"/>
      <c r="G3" s="41" t="s">
        <v>701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55" si="0">ROW()-4</f>
        <v>0</v>
      </c>
      <c r="B4" s="24"/>
      <c r="C4" s="42"/>
      <c r="D4" s="42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703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238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238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238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43"/>
      <c r="C21" s="43"/>
      <c r="D21" s="43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43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705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43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43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43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43" t="s">
        <v>56</v>
      </c>
      <c r="W27" s="14">
        <v>255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43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43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43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43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43" t="s">
        <v>72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43" t="s">
        <v>72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706</v>
      </c>
      <c r="V34" s="43" t="s">
        <v>56</v>
      </c>
      <c r="W34" s="14">
        <v>255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E35" s="11" t="s">
        <v>707</v>
      </c>
      <c r="V35" s="43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708</v>
      </c>
      <c r="V36" s="43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709</v>
      </c>
      <c r="V37" s="43" t="s">
        <v>56</v>
      </c>
      <c r="W37" s="14">
        <v>255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710</v>
      </c>
      <c r="V38" s="43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43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43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86</v>
      </c>
      <c r="V41" s="43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85</v>
      </c>
      <c r="V42" s="43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185</v>
      </c>
      <c r="V43" s="43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43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697</v>
      </c>
      <c r="V45" s="43" t="s">
        <v>56</v>
      </c>
      <c r="W45" s="14">
        <v>255</v>
      </c>
      <c r="X45" s="14" t="s">
        <v>60</v>
      </c>
      <c r="Y45" s="14" t="s">
        <v>58</v>
      </c>
    </row>
    <row r="46" spans="1:25" x14ac:dyDescent="0.15">
      <c r="A46" s="11">
        <f t="shared" si="0"/>
        <v>42</v>
      </c>
      <c r="E46" s="11" t="s">
        <v>661</v>
      </c>
      <c r="V46" s="43" t="s">
        <v>72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711</v>
      </c>
      <c r="V47" s="43" t="s">
        <v>56</v>
      </c>
      <c r="W47" s="14">
        <v>255</v>
      </c>
      <c r="X47" s="14" t="s">
        <v>60</v>
      </c>
      <c r="Y47" s="14" t="s">
        <v>58</v>
      </c>
    </row>
    <row r="48" spans="1:25" x14ac:dyDescent="0.15">
      <c r="A48" s="11">
        <f t="shared" si="0"/>
        <v>44</v>
      </c>
      <c r="E48" s="11" t="s">
        <v>712</v>
      </c>
      <c r="V48" s="43" t="s">
        <v>56</v>
      </c>
      <c r="W48" s="14">
        <v>255</v>
      </c>
      <c r="X48" s="14" t="s">
        <v>60</v>
      </c>
      <c r="Y48" s="14" t="s">
        <v>58</v>
      </c>
    </row>
    <row r="49" spans="1:25" x14ac:dyDescent="0.15">
      <c r="A49" s="11">
        <f t="shared" si="0"/>
        <v>45</v>
      </c>
      <c r="E49" s="11" t="s">
        <v>713</v>
      </c>
      <c r="V49" s="43" t="s">
        <v>56</v>
      </c>
      <c r="W49" s="14">
        <v>255</v>
      </c>
      <c r="X49" s="14" t="s">
        <v>60</v>
      </c>
      <c r="Y49" s="14" t="s">
        <v>58</v>
      </c>
    </row>
    <row r="50" spans="1:25" x14ac:dyDescent="0.15">
      <c r="A50" s="11">
        <f t="shared" si="0"/>
        <v>46</v>
      </c>
      <c r="E50" s="11" t="s">
        <v>714</v>
      </c>
      <c r="V50" s="43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0"/>
        <v>47</v>
      </c>
      <c r="E51" s="11" t="s">
        <v>715</v>
      </c>
      <c r="V51" s="43" t="s">
        <v>56</v>
      </c>
      <c r="W51" s="14">
        <v>255</v>
      </c>
      <c r="X51" s="14" t="s">
        <v>60</v>
      </c>
      <c r="Y51" s="14" t="s">
        <v>58</v>
      </c>
    </row>
    <row r="52" spans="1:25" x14ac:dyDescent="0.15">
      <c r="A52" s="11">
        <f t="shared" si="0"/>
        <v>48</v>
      </c>
      <c r="E52" s="11" t="s">
        <v>716</v>
      </c>
      <c r="V52" s="43" t="s">
        <v>56</v>
      </c>
      <c r="W52" s="14">
        <v>255</v>
      </c>
      <c r="X52" s="14" t="s">
        <v>60</v>
      </c>
      <c r="Y52" s="14" t="s">
        <v>58</v>
      </c>
    </row>
    <row r="53" spans="1:25" x14ac:dyDescent="0.15">
      <c r="A53" s="11">
        <f t="shared" si="0"/>
        <v>49</v>
      </c>
      <c r="E53" s="11" t="s">
        <v>717</v>
      </c>
      <c r="V53" s="43" t="s">
        <v>63</v>
      </c>
      <c r="X53" s="14" t="s">
        <v>64</v>
      </c>
      <c r="Y53" s="14" t="s">
        <v>64</v>
      </c>
    </row>
    <row r="54" spans="1:25" x14ac:dyDescent="0.15">
      <c r="A54" s="11">
        <f t="shared" si="0"/>
        <v>50</v>
      </c>
      <c r="E54" s="11" t="s">
        <v>718</v>
      </c>
      <c r="V54" s="43" t="s">
        <v>56</v>
      </c>
      <c r="W54" s="14">
        <v>255</v>
      </c>
      <c r="X54" s="14" t="s">
        <v>60</v>
      </c>
      <c r="Y54" s="14" t="s">
        <v>58</v>
      </c>
    </row>
    <row r="55" spans="1:25" x14ac:dyDescent="0.15">
      <c r="A55" s="11">
        <f t="shared" si="0"/>
        <v>51</v>
      </c>
      <c r="E55" s="11" t="s">
        <v>719</v>
      </c>
      <c r="V55" s="43" t="s">
        <v>56</v>
      </c>
      <c r="W55" s="14">
        <v>255</v>
      </c>
      <c r="X55" s="14" t="s">
        <v>60</v>
      </c>
      <c r="Y5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8" t="s">
        <v>49</v>
      </c>
      <c r="B2" s="49"/>
      <c r="C2" s="60" t="s">
        <v>722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48</v>
      </c>
      <c r="B3" s="54" t="s">
        <v>0</v>
      </c>
      <c r="C3" s="55"/>
      <c r="D3" s="56"/>
      <c r="E3" s="39" t="s">
        <v>53</v>
      </c>
      <c r="F3" s="66"/>
      <c r="G3" s="41" t="s">
        <v>6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50" t="s">
        <v>2</v>
      </c>
      <c r="AA3" s="51"/>
    </row>
    <row r="4" spans="1:29" s="11" customFormat="1" ht="11.25" customHeight="1" x14ac:dyDescent="0.15">
      <c r="A4" s="7">
        <f t="shared" ref="A4:A20" si="0">ROW()-4</f>
        <v>0</v>
      </c>
      <c r="B4" s="24"/>
      <c r="C4" s="42"/>
      <c r="D4" s="42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121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95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721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238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703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57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227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57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720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133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134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56</v>
      </c>
      <c r="W19" s="14">
        <v>15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135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56</v>
      </c>
      <c r="W20" s="14">
        <v>30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B21" s="43"/>
      <c r="C21" s="43"/>
      <c r="D21" s="43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C3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" sqref="C1:U1"/>
    </sheetView>
  </sheetViews>
  <sheetFormatPr defaultColWidth="15.625" defaultRowHeight="11.25" x14ac:dyDescent="0.15"/>
  <cols>
    <col min="1" max="1" width="3.625" style="83" customWidth="1"/>
    <col min="2" max="3" width="6.625" style="89" customWidth="1"/>
    <col min="4" max="4" width="12.625" style="89" customWidth="1"/>
    <col min="5" max="5" width="13.125" style="83" customWidth="1"/>
    <col min="6" max="6" width="3.75" style="86" customWidth="1"/>
    <col min="7" max="21" width="2.625" style="86" customWidth="1"/>
    <col min="22" max="22" width="8.75" style="89" customWidth="1"/>
    <col min="23" max="23" width="5.625" style="86" customWidth="1"/>
    <col min="24" max="24" width="5.375" style="86" customWidth="1"/>
    <col min="25" max="25" width="5.5" style="86" customWidth="1"/>
    <col min="26" max="26" width="25.75" style="87" customWidth="1"/>
    <col min="27" max="27" width="26.625" style="87" customWidth="1"/>
    <col min="28" max="16384" width="15.625" style="88"/>
  </cols>
  <sheetData>
    <row r="1" spans="1:29" s="76" customFormat="1" x14ac:dyDescent="0.15">
      <c r="A1" s="69" t="s">
        <v>3</v>
      </c>
      <c r="B1" s="70"/>
      <c r="C1" s="57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9"/>
      <c r="V1" s="63" t="s">
        <v>4</v>
      </c>
      <c r="W1" s="52"/>
      <c r="X1" s="52"/>
      <c r="Y1" s="52"/>
      <c r="Z1" s="52"/>
      <c r="AA1" s="52"/>
      <c r="AB1" s="75" t="str">
        <f>"設定!R2C1:R"&amp;COUNTA([1]設定!$A:$A)&amp;"C1"</f>
        <v>設定!R2C1:R12C1</v>
      </c>
      <c r="AC1" s="75" t="str">
        <f>"設定!R2C10:R"&amp;COUNTA([1]設定!$J:$J)&amp;"C10"</f>
        <v>設定!R2C10:R4C10</v>
      </c>
    </row>
    <row r="2" spans="1:29" s="76" customFormat="1" ht="11.25" customHeight="1" x14ac:dyDescent="0.15">
      <c r="A2" s="48" t="s">
        <v>49</v>
      </c>
      <c r="B2" s="49"/>
      <c r="C2" s="60" t="s">
        <v>752</v>
      </c>
      <c r="D2" s="61"/>
      <c r="E2" s="62"/>
      <c r="F2" s="65" t="s">
        <v>5</v>
      </c>
      <c r="G2" s="67" t="s">
        <v>47</v>
      </c>
      <c r="H2" s="67"/>
      <c r="I2" s="67"/>
      <c r="J2" s="67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4"/>
      <c r="W2" s="53"/>
      <c r="X2" s="53"/>
      <c r="Y2" s="53"/>
      <c r="Z2" s="53"/>
      <c r="AA2" s="53"/>
      <c r="AB2" s="75"/>
      <c r="AC2" s="75" t="str">
        <f>"設定!R2C13:R"&amp;COUNTA([1]設定!$M:$M)&amp;"C13"</f>
        <v>設定!R2C13:R4C13</v>
      </c>
    </row>
    <row r="3" spans="1:29" s="80" customFormat="1" ht="11.25" customHeight="1" x14ac:dyDescent="0.15">
      <c r="A3" s="77" t="s">
        <v>48</v>
      </c>
      <c r="B3" s="54" t="s">
        <v>0</v>
      </c>
      <c r="C3" s="55"/>
      <c r="D3" s="56"/>
      <c r="E3" s="79" t="s">
        <v>53</v>
      </c>
      <c r="F3" s="66"/>
      <c r="G3" s="78" t="s">
        <v>6</v>
      </c>
      <c r="H3" s="78" t="s">
        <v>7</v>
      </c>
      <c r="I3" s="78" t="s">
        <v>8</v>
      </c>
      <c r="J3" s="78" t="s">
        <v>9</v>
      </c>
      <c r="K3" s="78" t="s">
        <v>10</v>
      </c>
      <c r="L3" s="78">
        <v>6</v>
      </c>
      <c r="M3" s="78">
        <v>7</v>
      </c>
      <c r="N3" s="78">
        <v>8</v>
      </c>
      <c r="O3" s="78">
        <v>9</v>
      </c>
      <c r="P3" s="78">
        <v>10</v>
      </c>
      <c r="Q3" s="78">
        <v>11</v>
      </c>
      <c r="R3" s="78">
        <v>12</v>
      </c>
      <c r="S3" s="78">
        <v>13</v>
      </c>
      <c r="T3" s="78">
        <v>14</v>
      </c>
      <c r="U3" s="78">
        <v>15</v>
      </c>
      <c r="V3" s="78" t="s">
        <v>1</v>
      </c>
      <c r="W3" s="78" t="s">
        <v>17</v>
      </c>
      <c r="X3" s="78" t="s">
        <v>18</v>
      </c>
      <c r="Y3" s="78" t="s">
        <v>19</v>
      </c>
      <c r="Z3" s="50" t="s">
        <v>2</v>
      </c>
      <c r="AA3" s="51"/>
    </row>
    <row r="4" spans="1:29" s="83" customFormat="1" ht="11.25" customHeight="1" x14ac:dyDescent="0.15">
      <c r="A4" s="81">
        <f t="shared" ref="A4:A38" si="0">ROW()-4</f>
        <v>0</v>
      </c>
      <c r="B4" s="90"/>
      <c r="C4" s="85"/>
      <c r="D4" s="85"/>
      <c r="E4" s="92" t="s">
        <v>76</v>
      </c>
      <c r="F4" s="93"/>
      <c r="G4" s="93">
        <v>1</v>
      </c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6" t="s">
        <v>56</v>
      </c>
      <c r="W4" s="93">
        <v>10</v>
      </c>
      <c r="X4" s="93" t="s">
        <v>60</v>
      </c>
      <c r="Y4" s="93" t="s">
        <v>58</v>
      </c>
      <c r="Z4" s="82"/>
      <c r="AA4" s="82"/>
    </row>
    <row r="5" spans="1:29" s="83" customFormat="1" x14ac:dyDescent="0.15">
      <c r="A5" s="84">
        <f t="shared" si="0"/>
        <v>1</v>
      </c>
      <c r="B5" s="85"/>
      <c r="C5" s="85"/>
      <c r="D5" s="85"/>
      <c r="E5" s="92" t="s">
        <v>77</v>
      </c>
      <c r="F5" s="93"/>
      <c r="G5" s="93"/>
      <c r="H5" s="93">
        <v>1</v>
      </c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6" t="s">
        <v>56</v>
      </c>
      <c r="W5" s="93">
        <v>10</v>
      </c>
      <c r="X5" s="93" t="s">
        <v>60</v>
      </c>
      <c r="Y5" s="93" t="s">
        <v>58</v>
      </c>
      <c r="Z5" s="82"/>
      <c r="AA5" s="82"/>
    </row>
    <row r="6" spans="1:29" s="83" customFormat="1" x14ac:dyDescent="0.15">
      <c r="A6" s="84">
        <f t="shared" si="0"/>
        <v>2</v>
      </c>
      <c r="B6" s="85"/>
      <c r="C6" s="85"/>
      <c r="D6" s="85"/>
      <c r="E6" s="92" t="s">
        <v>78</v>
      </c>
      <c r="F6" s="93"/>
      <c r="G6" s="93"/>
      <c r="H6" s="93"/>
      <c r="I6" s="93">
        <v>1</v>
      </c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6" t="s">
        <v>56</v>
      </c>
      <c r="W6" s="93">
        <v>10</v>
      </c>
      <c r="X6" s="93" t="s">
        <v>60</v>
      </c>
      <c r="Y6" s="93" t="s">
        <v>58</v>
      </c>
      <c r="Z6" s="82"/>
      <c r="AA6" s="82"/>
    </row>
    <row r="7" spans="1:29" s="83" customFormat="1" x14ac:dyDescent="0.15">
      <c r="A7" s="84">
        <f t="shared" si="0"/>
        <v>3</v>
      </c>
      <c r="B7" s="85"/>
      <c r="C7" s="85"/>
      <c r="D7" s="85"/>
      <c r="E7" s="92" t="s">
        <v>94</v>
      </c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6" t="s">
        <v>56</v>
      </c>
      <c r="W7" s="93">
        <v>255</v>
      </c>
      <c r="X7" s="93" t="s">
        <v>60</v>
      </c>
      <c r="Y7" s="93" t="s">
        <v>58</v>
      </c>
      <c r="Z7" s="82"/>
      <c r="AA7" s="82"/>
    </row>
    <row r="8" spans="1:29" s="83" customFormat="1" x14ac:dyDescent="0.15">
      <c r="A8" s="84">
        <f t="shared" si="0"/>
        <v>4</v>
      </c>
      <c r="B8" s="85"/>
      <c r="C8" s="85"/>
      <c r="D8" s="85"/>
      <c r="E8" s="92" t="s">
        <v>91</v>
      </c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6" t="s">
        <v>56</v>
      </c>
      <c r="W8" s="93">
        <v>255</v>
      </c>
      <c r="X8" s="93" t="s">
        <v>60</v>
      </c>
      <c r="Y8" s="93" t="s">
        <v>58</v>
      </c>
      <c r="Z8" s="82"/>
      <c r="AA8" s="82"/>
    </row>
    <row r="9" spans="1:29" s="83" customFormat="1" x14ac:dyDescent="0.15">
      <c r="A9" s="84">
        <f t="shared" si="0"/>
        <v>5</v>
      </c>
      <c r="B9" s="85"/>
      <c r="C9" s="85"/>
      <c r="D9" s="85"/>
      <c r="E9" s="92" t="s">
        <v>92</v>
      </c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6" t="s">
        <v>56</v>
      </c>
      <c r="W9" s="93">
        <v>100</v>
      </c>
      <c r="X9" s="93" t="s">
        <v>60</v>
      </c>
      <c r="Y9" s="93" t="s">
        <v>58</v>
      </c>
      <c r="Z9" s="82"/>
      <c r="AA9" s="82"/>
    </row>
    <row r="10" spans="1:29" s="83" customFormat="1" ht="11.25" customHeight="1" x14ac:dyDescent="0.15">
      <c r="A10" s="84">
        <f t="shared" si="0"/>
        <v>6</v>
      </c>
      <c r="B10" s="85"/>
      <c r="C10" s="85"/>
      <c r="D10" s="85"/>
      <c r="E10" s="92" t="s">
        <v>79</v>
      </c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6" t="s">
        <v>238</v>
      </c>
      <c r="W10" s="93"/>
      <c r="X10" s="93" t="s">
        <v>60</v>
      </c>
      <c r="Y10" s="93" t="s">
        <v>64</v>
      </c>
      <c r="Z10" s="82"/>
      <c r="AA10" s="82"/>
    </row>
    <row r="11" spans="1:29" s="83" customFormat="1" x14ac:dyDescent="0.15">
      <c r="A11" s="84">
        <f t="shared" si="0"/>
        <v>7</v>
      </c>
      <c r="B11" s="85"/>
      <c r="C11" s="85"/>
      <c r="D11" s="85"/>
      <c r="E11" s="92" t="s">
        <v>258</v>
      </c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6" t="s">
        <v>56</v>
      </c>
      <c r="W11" s="93">
        <v>50</v>
      </c>
      <c r="X11" s="93" t="s">
        <v>60</v>
      </c>
      <c r="Y11" s="93" t="s">
        <v>58</v>
      </c>
      <c r="Z11" s="82"/>
      <c r="AA11" s="82"/>
    </row>
    <row r="12" spans="1:29" s="83" customFormat="1" x14ac:dyDescent="0.15">
      <c r="A12" s="84">
        <f t="shared" si="0"/>
        <v>8</v>
      </c>
      <c r="B12" s="85"/>
      <c r="C12" s="85"/>
      <c r="D12" s="85"/>
      <c r="E12" s="92" t="s">
        <v>740</v>
      </c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6" t="s">
        <v>56</v>
      </c>
      <c r="W12" s="93">
        <v>50</v>
      </c>
      <c r="X12" s="93" t="s">
        <v>60</v>
      </c>
      <c r="Y12" s="93" t="s">
        <v>58</v>
      </c>
      <c r="Z12" s="82"/>
      <c r="AA12" s="82"/>
    </row>
    <row r="13" spans="1:29" s="83" customFormat="1" ht="22.5" x14ac:dyDescent="0.15">
      <c r="A13" s="84">
        <f t="shared" si="0"/>
        <v>9</v>
      </c>
      <c r="B13" s="85"/>
      <c r="C13" s="85"/>
      <c r="D13" s="85"/>
      <c r="E13" s="92" t="s">
        <v>741</v>
      </c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6" t="s">
        <v>56</v>
      </c>
      <c r="W13" s="93">
        <v>50</v>
      </c>
      <c r="X13" s="93" t="s">
        <v>60</v>
      </c>
      <c r="Y13" s="93" t="s">
        <v>58</v>
      </c>
      <c r="Z13" s="82"/>
      <c r="AA13" s="82"/>
    </row>
    <row r="14" spans="1:29" s="83" customFormat="1" x14ac:dyDescent="0.15">
      <c r="A14" s="84">
        <f t="shared" si="0"/>
        <v>10</v>
      </c>
      <c r="B14" s="85"/>
      <c r="C14" s="89"/>
      <c r="D14" s="89"/>
      <c r="E14" s="94" t="s">
        <v>259</v>
      </c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7" t="s">
        <v>56</v>
      </c>
      <c r="W14" s="95">
        <v>255</v>
      </c>
      <c r="X14" s="95" t="s">
        <v>60</v>
      </c>
      <c r="Y14" s="95" t="s">
        <v>58</v>
      </c>
      <c r="Z14" s="87"/>
      <c r="AA14" s="87"/>
    </row>
    <row r="15" spans="1:29" s="83" customFormat="1" x14ac:dyDescent="0.15">
      <c r="A15" s="84">
        <f t="shared" si="0"/>
        <v>11</v>
      </c>
      <c r="B15" s="85"/>
      <c r="C15" s="89"/>
      <c r="D15" s="89"/>
      <c r="E15" s="94" t="s">
        <v>313</v>
      </c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7" t="s">
        <v>56</v>
      </c>
      <c r="W15" s="95">
        <v>5</v>
      </c>
      <c r="X15" s="95" t="s">
        <v>60</v>
      </c>
      <c r="Y15" s="95" t="s">
        <v>58</v>
      </c>
      <c r="Z15" s="87"/>
      <c r="AA15" s="87"/>
    </row>
    <row r="16" spans="1:29" s="83" customFormat="1" x14ac:dyDescent="0.15">
      <c r="A16" s="84">
        <f t="shared" si="0"/>
        <v>12</v>
      </c>
      <c r="B16" s="85"/>
      <c r="C16" s="89"/>
      <c r="D16" s="89"/>
      <c r="E16" s="94" t="s">
        <v>314</v>
      </c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7" t="s">
        <v>56</v>
      </c>
      <c r="W16" s="95">
        <v>10</v>
      </c>
      <c r="X16" s="95" t="s">
        <v>60</v>
      </c>
      <c r="Y16" s="95" t="s">
        <v>58</v>
      </c>
      <c r="Z16" s="87"/>
      <c r="AA16" s="87"/>
    </row>
    <row r="17" spans="1:27" s="83" customFormat="1" x14ac:dyDescent="0.15">
      <c r="A17" s="83">
        <f t="shared" si="0"/>
        <v>13</v>
      </c>
      <c r="B17" s="89"/>
      <c r="C17" s="89"/>
      <c r="D17" s="89"/>
      <c r="E17" s="94" t="s">
        <v>167</v>
      </c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7" t="s">
        <v>56</v>
      </c>
      <c r="W17" s="95">
        <v>50</v>
      </c>
      <c r="X17" s="95" t="s">
        <v>60</v>
      </c>
      <c r="Y17" s="95" t="s">
        <v>58</v>
      </c>
      <c r="Z17" s="87"/>
      <c r="AA17" s="87"/>
    </row>
    <row r="18" spans="1:27" s="83" customFormat="1" x14ac:dyDescent="0.15">
      <c r="A18" s="83">
        <f t="shared" si="0"/>
        <v>14</v>
      </c>
      <c r="B18" s="89"/>
      <c r="C18" s="89"/>
      <c r="D18" s="89"/>
      <c r="E18" s="94" t="s">
        <v>128</v>
      </c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7" t="s">
        <v>80</v>
      </c>
      <c r="W18" s="95"/>
      <c r="X18" s="95" t="s">
        <v>60</v>
      </c>
      <c r="Y18" s="95" t="s">
        <v>64</v>
      </c>
      <c r="Z18" s="87"/>
      <c r="AA18" s="87"/>
    </row>
    <row r="19" spans="1:27" s="83" customFormat="1" x14ac:dyDescent="0.15">
      <c r="A19" s="83">
        <f t="shared" si="0"/>
        <v>15</v>
      </c>
      <c r="B19" s="89"/>
      <c r="C19" s="89"/>
      <c r="D19" s="89"/>
      <c r="E19" s="94" t="s">
        <v>646</v>
      </c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7" t="s">
        <v>89</v>
      </c>
      <c r="W19" s="95"/>
      <c r="X19" s="95" t="s">
        <v>60</v>
      </c>
      <c r="Y19" s="95" t="s">
        <v>64</v>
      </c>
      <c r="Z19" s="87"/>
      <c r="AA19" s="87"/>
    </row>
    <row r="20" spans="1:27" s="83" customFormat="1" x14ac:dyDescent="0.15">
      <c r="A20" s="83">
        <f t="shared" si="0"/>
        <v>16</v>
      </c>
      <c r="B20" s="89"/>
      <c r="C20" s="89"/>
      <c r="D20" s="89"/>
      <c r="E20" s="94" t="s">
        <v>742</v>
      </c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7" t="s">
        <v>89</v>
      </c>
      <c r="W20" s="95"/>
      <c r="X20" s="95" t="s">
        <v>60</v>
      </c>
      <c r="Y20" s="95" t="s">
        <v>64</v>
      </c>
      <c r="Z20" s="87"/>
      <c r="AA20" s="87"/>
    </row>
    <row r="21" spans="1:27" s="83" customFormat="1" x14ac:dyDescent="0.15">
      <c r="A21" s="94">
        <f t="shared" si="0"/>
        <v>17</v>
      </c>
      <c r="B21" s="89"/>
      <c r="C21" s="89"/>
      <c r="D21" s="89"/>
      <c r="E21" s="94" t="s">
        <v>477</v>
      </c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7" t="s">
        <v>89</v>
      </c>
      <c r="W21" s="95"/>
      <c r="X21" s="95" t="s">
        <v>60</v>
      </c>
      <c r="Y21" s="95" t="s">
        <v>64</v>
      </c>
      <c r="Z21" s="87"/>
      <c r="AA21" s="87"/>
    </row>
    <row r="22" spans="1:27" ht="13.5" x14ac:dyDescent="0.15">
      <c r="A22" s="94">
        <f t="shared" si="0"/>
        <v>18</v>
      </c>
      <c r="E22" s="94" t="s">
        <v>743</v>
      </c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7" t="s">
        <v>56</v>
      </c>
      <c r="W22" s="95">
        <v>100</v>
      </c>
      <c r="X22" s="95" t="s">
        <v>60</v>
      </c>
      <c r="Y22" s="95" t="s">
        <v>58</v>
      </c>
    </row>
    <row r="23" spans="1:27" ht="13.5" x14ac:dyDescent="0.15">
      <c r="A23" s="94">
        <f t="shared" si="0"/>
        <v>19</v>
      </c>
      <c r="E23" s="94" t="s">
        <v>744</v>
      </c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6" t="s">
        <v>56</v>
      </c>
      <c r="W23" s="95">
        <v>2</v>
      </c>
      <c r="X23" s="95" t="s">
        <v>60</v>
      </c>
      <c r="Y23" s="95" t="s">
        <v>58</v>
      </c>
    </row>
    <row r="24" spans="1:27" ht="13.5" x14ac:dyDescent="0.15">
      <c r="A24" s="94">
        <f t="shared" si="0"/>
        <v>20</v>
      </c>
      <c r="E24" s="94" t="s">
        <v>745</v>
      </c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7" t="s">
        <v>56</v>
      </c>
      <c r="W24" s="95">
        <v>50</v>
      </c>
      <c r="X24" s="95" t="s">
        <v>60</v>
      </c>
      <c r="Y24" s="95" t="s">
        <v>58</v>
      </c>
    </row>
    <row r="25" spans="1:27" ht="13.5" x14ac:dyDescent="0.15">
      <c r="A25" s="94">
        <f t="shared" si="0"/>
        <v>21</v>
      </c>
      <c r="E25" s="94" t="s">
        <v>219</v>
      </c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7" t="s">
        <v>238</v>
      </c>
      <c r="W25" s="91"/>
      <c r="X25" s="95" t="s">
        <v>60</v>
      </c>
      <c r="Y25" s="95" t="s">
        <v>64</v>
      </c>
    </row>
    <row r="26" spans="1:27" ht="13.5" x14ac:dyDescent="0.15">
      <c r="A26" s="94">
        <f t="shared" si="0"/>
        <v>22</v>
      </c>
      <c r="E26" s="94" t="s">
        <v>482</v>
      </c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7" t="s">
        <v>89</v>
      </c>
      <c r="W26" s="91"/>
      <c r="X26" s="95" t="s">
        <v>60</v>
      </c>
      <c r="Y26" s="95" t="s">
        <v>64</v>
      </c>
    </row>
    <row r="27" spans="1:27" ht="13.5" x14ac:dyDescent="0.15">
      <c r="A27" s="94">
        <f t="shared" si="0"/>
        <v>23</v>
      </c>
      <c r="E27" s="94" t="s">
        <v>746</v>
      </c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7" t="s">
        <v>72</v>
      </c>
      <c r="W27" s="91"/>
      <c r="X27" s="95" t="s">
        <v>60</v>
      </c>
      <c r="Y27" s="95" t="s">
        <v>64</v>
      </c>
    </row>
    <row r="28" spans="1:27" ht="13.5" x14ac:dyDescent="0.15">
      <c r="A28" s="94">
        <f t="shared" si="0"/>
        <v>24</v>
      </c>
      <c r="E28" s="94" t="s">
        <v>747</v>
      </c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7" t="s">
        <v>56</v>
      </c>
      <c r="W28" s="95">
        <v>50</v>
      </c>
      <c r="X28" s="95" t="s">
        <v>60</v>
      </c>
      <c r="Y28" s="95" t="s">
        <v>58</v>
      </c>
    </row>
    <row r="29" spans="1:27" ht="13.5" x14ac:dyDescent="0.15">
      <c r="A29" s="94">
        <f t="shared" si="0"/>
        <v>25</v>
      </c>
      <c r="E29" s="94" t="s">
        <v>748</v>
      </c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7" t="s">
        <v>56</v>
      </c>
      <c r="W29" s="95">
        <v>50</v>
      </c>
      <c r="X29" s="95" t="s">
        <v>60</v>
      </c>
      <c r="Y29" s="95" t="s">
        <v>58</v>
      </c>
    </row>
    <row r="30" spans="1:27" ht="13.5" x14ac:dyDescent="0.15">
      <c r="A30" s="94">
        <f t="shared" si="0"/>
        <v>26</v>
      </c>
      <c r="E30" s="94" t="s">
        <v>749</v>
      </c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7" t="s">
        <v>56</v>
      </c>
      <c r="W30" s="95">
        <v>255</v>
      </c>
      <c r="X30" s="95" t="s">
        <v>60</v>
      </c>
      <c r="Y30" s="95" t="s">
        <v>58</v>
      </c>
    </row>
    <row r="31" spans="1:27" ht="13.5" x14ac:dyDescent="0.15">
      <c r="A31" s="94">
        <f t="shared" si="0"/>
        <v>27</v>
      </c>
      <c r="E31" s="94" t="s">
        <v>750</v>
      </c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7" t="s">
        <v>56</v>
      </c>
      <c r="W31" s="95">
        <v>5</v>
      </c>
      <c r="X31" s="95" t="s">
        <v>60</v>
      </c>
      <c r="Y31" s="95" t="s">
        <v>58</v>
      </c>
    </row>
    <row r="32" spans="1:27" ht="13.5" x14ac:dyDescent="0.15">
      <c r="A32" s="94">
        <f t="shared" si="0"/>
        <v>28</v>
      </c>
      <c r="E32" s="94" t="s">
        <v>228</v>
      </c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7" t="s">
        <v>56</v>
      </c>
      <c r="W32" s="95">
        <v>10</v>
      </c>
      <c r="X32" s="95" t="s">
        <v>60</v>
      </c>
      <c r="Y32" s="95" t="s">
        <v>58</v>
      </c>
    </row>
    <row r="33" spans="1:25" ht="13.5" x14ac:dyDescent="0.15">
      <c r="A33" s="94">
        <f t="shared" si="0"/>
        <v>29</v>
      </c>
      <c r="E33" s="94" t="s">
        <v>470</v>
      </c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7" t="s">
        <v>56</v>
      </c>
      <c r="W33" s="95">
        <v>10</v>
      </c>
      <c r="X33" s="95" t="s">
        <v>60</v>
      </c>
      <c r="Y33" s="95" t="s">
        <v>58</v>
      </c>
    </row>
    <row r="34" spans="1:25" ht="13.5" x14ac:dyDescent="0.15">
      <c r="A34" s="94">
        <f t="shared" si="0"/>
        <v>30</v>
      </c>
      <c r="E34" s="94" t="s">
        <v>480</v>
      </c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7" t="s">
        <v>56</v>
      </c>
      <c r="W34" s="95">
        <v>255</v>
      </c>
      <c r="X34" s="95" t="s">
        <v>60</v>
      </c>
      <c r="Y34" s="95" t="s">
        <v>58</v>
      </c>
    </row>
    <row r="35" spans="1:25" ht="13.5" x14ac:dyDescent="0.15">
      <c r="A35" s="94">
        <f t="shared" si="0"/>
        <v>31</v>
      </c>
      <c r="E35" s="94" t="s">
        <v>751</v>
      </c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7" t="s">
        <v>63</v>
      </c>
      <c r="W35" s="91"/>
      <c r="X35" s="95" t="s">
        <v>64</v>
      </c>
      <c r="Y35" s="95" t="s">
        <v>64</v>
      </c>
    </row>
    <row r="36" spans="1:25" ht="13.5" x14ac:dyDescent="0.15">
      <c r="A36" s="94">
        <f t="shared" si="0"/>
        <v>32</v>
      </c>
      <c r="E36" s="94" t="s">
        <v>98</v>
      </c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7" t="s">
        <v>63</v>
      </c>
      <c r="W36" s="91"/>
      <c r="X36" s="95" t="s">
        <v>64</v>
      </c>
      <c r="Y36" s="95" t="s">
        <v>64</v>
      </c>
    </row>
    <row r="37" spans="1:25" ht="13.5" x14ac:dyDescent="0.15">
      <c r="A37" s="94">
        <f t="shared" si="0"/>
        <v>33</v>
      </c>
      <c r="E37" s="94" t="s">
        <v>311</v>
      </c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7" t="s">
        <v>56</v>
      </c>
      <c r="W37" s="95">
        <v>255</v>
      </c>
      <c r="X37" s="95" t="s">
        <v>60</v>
      </c>
      <c r="Y37" s="95" t="s">
        <v>58</v>
      </c>
    </row>
    <row r="38" spans="1:25" ht="13.5" x14ac:dyDescent="0.15">
      <c r="A38" s="94">
        <f t="shared" si="0"/>
        <v>34</v>
      </c>
      <c r="E38" s="94" t="s">
        <v>312</v>
      </c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7" t="s">
        <v>56</v>
      </c>
      <c r="W38" s="95">
        <v>255</v>
      </c>
      <c r="X38" s="95" t="s">
        <v>60</v>
      </c>
      <c r="Y38" s="95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38</vt:i4>
      </vt:variant>
      <vt:variant>
        <vt:lpstr>名前付き一覧</vt:lpstr>
      </vt:variant>
      <vt:variant>
        <vt:i4>74</vt:i4>
      </vt:variant>
    </vt:vector>
  </HeadingPairs>
  <TitlesOfParts>
    <vt:vector size="112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WK_AO資材納期情報</vt:lpstr>
      <vt:lpstr>WK_資材納期</vt:lpstr>
      <vt:lpstr>WK_製造指示書ウォールスルー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WK_製造指示書ウォールスルー!Print_Area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WK_製造指示書ウォールスルー!Print_Titles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2018-12-11T10:02:31Z</dcterms:modified>
  <cp:category>MDB,データベース,テーブル,DAO</cp:category>
</cp:coreProperties>
</file>