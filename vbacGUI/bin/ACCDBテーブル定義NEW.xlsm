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firstSheet="1" activeTab="1"/>
  </bookViews>
  <sheets>
    <sheet name="設定" sheetId="2" state="hidden" r:id="rId1"/>
    <sheet name="原紙" sheetId="1" r:id="rId2"/>
    <sheet name="T_Version管理" sheetId="43" r:id="rId3"/>
    <sheet name="WK_Calendar_業務" sheetId="44" r:id="rId4"/>
    <sheet name="WK_Calendar_工場" sheetId="45" r:id="rId5"/>
    <sheet name="WK_Status" sheetId="46" r:id="rId6"/>
    <sheet name="WK_SxL品番読替表" sheetId="47" r:id="rId7"/>
    <sheet name="WK_チェックリスト" sheetId="48" r:id="rId8"/>
    <sheet name="WK_工程表データ" sheetId="49" r:id="rId9"/>
    <sheet name="WK_札データ" sheetId="50" r:id="rId10"/>
    <sheet name="WK_札データ_集計" sheetId="51" r:id="rId11"/>
    <sheet name="WK_札データ_備考" sheetId="52" r:id="rId12"/>
    <sheet name="WK_札台帳データ" sheetId="53" r:id="rId13"/>
    <sheet name="WK_上枠下地グループ集計" sheetId="54" r:id="rId14"/>
    <sheet name="WK_製造指示" sheetId="55" r:id="rId15"/>
    <sheet name="WK_製造指示_Clone" sheetId="56" r:id="rId16"/>
    <sheet name="WK_製造日別集計データ" sheetId="57" r:id="rId17"/>
    <sheet name="WK_対象日付" sheetId="58" r:id="rId18"/>
    <sheet name="WK_台帳集計データ" sheetId="59" r:id="rId19"/>
    <sheet name="WK_追加製造" sheetId="60" r:id="rId20"/>
    <sheet name="WK_枠出荷表" sheetId="61" r:id="rId21"/>
    <sheet name="WK_框材使用数" sheetId="62" r:id="rId22"/>
    <sheet name="WK_契約番号" sheetId="63" r:id="rId23"/>
    <sheet name="WK_フルハイトライン製造数邸別" sheetId="64" r:id="rId24"/>
    <sheet name="WK_FullHeightライン指示" sheetId="65" r:id="rId25"/>
  </sheets>
  <functionGroups builtInGroupCount="18"/>
  <externalReferences>
    <externalReference r:id="rId26"/>
  </externalReferences>
  <definedNames>
    <definedName name="_xlnm._FilterDatabase" localSheetId="24" hidden="1">WK_FullHeightライン指示!$A$3:$S$94</definedName>
    <definedName name="_xlnm._FilterDatabase" localSheetId="23" hidden="1">WK_フルハイトライン製造数邸別!$A$3:$S$94</definedName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WK_FullHeightライン指示!$A$1:$Q$50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23">WK_フルハイトライン製造数邸別!$A$1:$Q$50</definedName>
    <definedName name="_xlnm.Print_Area" localSheetId="22">WK_契約番号!$A$1:$AA$38</definedName>
    <definedName name="_xlnm.Print_Area" localSheetId="8">WK_工程表データ!$A$1:$AA$53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13">WK_上枠下地グループ集計!$A$1:$AA$50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20">WK_枠出荷表!$A$1:$AA$50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2">WK_契約番号!$1:$3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13">WK_上枠下地グループ集計!$1:$3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3" i="65" l="1"/>
  <c r="A32" i="65"/>
  <c r="A31" i="65"/>
  <c r="A30" i="65"/>
  <c r="A29" i="65"/>
  <c r="A28" i="65"/>
  <c r="A27" i="65"/>
  <c r="A26" i="65"/>
  <c r="A25" i="65"/>
  <c r="A24" i="65"/>
  <c r="A23" i="65"/>
  <c r="A22" i="65"/>
  <c r="A21" i="65"/>
  <c r="A20" i="65"/>
  <c r="A19" i="65"/>
  <c r="A18" i="65"/>
  <c r="A17" i="65"/>
  <c r="A16" i="65"/>
  <c r="A15" i="65"/>
  <c r="A14" i="65"/>
  <c r="A13" i="65"/>
  <c r="A12" i="65"/>
  <c r="A11" i="65"/>
  <c r="A10" i="65"/>
  <c r="A9" i="65"/>
  <c r="A8" i="65"/>
  <c r="A7" i="65"/>
  <c r="A6" i="65"/>
  <c r="A5" i="65"/>
  <c r="A4" i="65"/>
  <c r="S2" i="65"/>
  <c r="S1" i="65"/>
  <c r="R1" i="65"/>
  <c r="A8" i="64"/>
  <c r="A7" i="64"/>
  <c r="A6" i="64"/>
  <c r="A5" i="64"/>
  <c r="A4" i="64"/>
  <c r="S2" i="64"/>
  <c r="S1" i="64"/>
  <c r="R1" i="64"/>
  <c r="A18" i="49" l="1"/>
  <c r="A19" i="49"/>
  <c r="A20" i="49"/>
  <c r="A21" i="49"/>
  <c r="A22" i="49"/>
  <c r="A23" i="49"/>
  <c r="A24" i="49"/>
  <c r="A25" i="49"/>
  <c r="A26" i="49"/>
  <c r="A16" i="49" l="1"/>
  <c r="A11" i="49" l="1"/>
  <c r="A12" i="49"/>
  <c r="A4" i="63" l="1"/>
  <c r="A5" i="63"/>
  <c r="A6" i="63"/>
  <c r="A7" i="63"/>
  <c r="A12" i="63"/>
  <c r="A11" i="63"/>
  <c r="A10" i="63"/>
  <c r="A9" i="63"/>
  <c r="A8" i="63"/>
  <c r="AC2" i="63"/>
  <c r="AC1" i="63"/>
  <c r="AB1" i="63"/>
  <c r="A24" i="62" l="1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C2" i="62"/>
  <c r="AC1" i="62"/>
  <c r="AB1" i="62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C2" i="61"/>
  <c r="AC1" i="61"/>
  <c r="AB1" i="61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C2" i="60"/>
  <c r="AC1" i="60"/>
  <c r="AB1" i="60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C2" i="59"/>
  <c r="AC1" i="59"/>
  <c r="AB1" i="59"/>
  <c r="A5" i="58"/>
  <c r="A4" i="58"/>
  <c r="AC2" i="58"/>
  <c r="AC1" i="58"/>
  <c r="AB1" i="58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4" i="57"/>
  <c r="AC2" i="57"/>
  <c r="AC1" i="57"/>
  <c r="AB1" i="57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C2" i="56"/>
  <c r="AC1" i="56"/>
  <c r="AB1" i="56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C2" i="55"/>
  <c r="AC1" i="55"/>
  <c r="AB1" i="55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5" i="54"/>
  <c r="A4" i="54"/>
  <c r="AC2" i="54"/>
  <c r="AC1" i="54"/>
  <c r="AB1" i="54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C2" i="53"/>
  <c r="AC1" i="53"/>
  <c r="AB1" i="53"/>
  <c r="A13" i="52"/>
  <c r="A12" i="52"/>
  <c r="A11" i="52"/>
  <c r="A10" i="52"/>
  <c r="A9" i="52"/>
  <c r="A8" i="52"/>
  <c r="A7" i="52"/>
  <c r="A6" i="52"/>
  <c r="A5" i="52"/>
  <c r="A4" i="52"/>
  <c r="AC2" i="52"/>
  <c r="AC1" i="52"/>
  <c r="AB1" i="52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4" i="51"/>
  <c r="AC2" i="51"/>
  <c r="AC1" i="51"/>
  <c r="AB1" i="51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C2" i="50"/>
  <c r="AC1" i="50"/>
  <c r="AB1" i="50"/>
  <c r="A17" i="49"/>
  <c r="A15" i="49"/>
  <c r="A14" i="49"/>
  <c r="A13" i="49"/>
  <c r="A10" i="49"/>
  <c r="A9" i="49"/>
  <c r="A8" i="49"/>
  <c r="A7" i="49"/>
  <c r="A6" i="49"/>
  <c r="A5" i="49"/>
  <c r="A4" i="49"/>
  <c r="AC2" i="49"/>
  <c r="AC1" i="49"/>
  <c r="AB1" i="49"/>
  <c r="A15" i="48"/>
  <c r="A14" i="48"/>
  <c r="A13" i="48"/>
  <c r="A12" i="48"/>
  <c r="A11" i="48"/>
  <c r="A10" i="48"/>
  <c r="A9" i="48"/>
  <c r="A8" i="48"/>
  <c r="A7" i="48"/>
  <c r="A6" i="48"/>
  <c r="A5" i="48"/>
  <c r="A4" i="48"/>
  <c r="AC2" i="48"/>
  <c r="AC1" i="48"/>
  <c r="AB1" i="48"/>
  <c r="A8" i="47"/>
  <c r="A7" i="47"/>
  <c r="A6" i="47"/>
  <c r="A5" i="47"/>
  <c r="A4" i="47"/>
  <c r="AC2" i="47"/>
  <c r="AC1" i="47"/>
  <c r="AB1" i="47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A4" i="46"/>
  <c r="AC2" i="46"/>
  <c r="AC1" i="46"/>
  <c r="AB1" i="46"/>
  <c r="A4" i="45"/>
  <c r="AC2" i="45"/>
  <c r="AC1" i="45"/>
  <c r="AB1" i="45"/>
  <c r="A4" i="44"/>
  <c r="AC2" i="44"/>
  <c r="AC1" i="44"/>
  <c r="AB1" i="44"/>
  <c r="A7" i="43"/>
  <c r="A6" i="43"/>
  <c r="A5" i="43"/>
  <c r="A4" i="43"/>
  <c r="AC2" i="43"/>
  <c r="AC1" i="43"/>
  <c r="AB1" i="43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<sst xmlns="http://schemas.openxmlformats.org/spreadsheetml/2006/main" count="2295" uniqueCount="327">
  <si>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</si>
  <si>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</si>
  <si>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</si>
  <si>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</si>
  <si>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</si>
  <si>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</si>
  <si>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</si>
  <si>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</si>
  <si>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</si>
  <si>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</si>
  <si>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</si>
  <si>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</si>
  <si>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</si>
  <si>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</si>
  <si>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</si>
  <si>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</si>
  <si>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</si>
  <si>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</si>
  <si>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</si>
  <si>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</si>
  <si>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</si>
  <si>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</si>
  <si>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</si>
  <si>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</si>
  <si>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</si>
  <si>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</si>
  <si>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</si>
  <si>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</si>
  <si>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</si>
  <si>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</si>
  <si>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</si>
  <si>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</si>
  <si>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</si>
  <si>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</si>
  <si>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</si>
  <si>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</si>
  <si>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</si>
  <si>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</si>
  <si>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</si>
  <si>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</si>
  <si>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</si>
  <si>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</si>
  <si>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</si>
  <si>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</si>
  <si>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</si>
  <si>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</si>
  <si>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</si>
  <si>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</si>
  <si>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</si>
  <si>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</si>
  <si>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</si>
  <si>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</si>
  <si>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</si>
  <si>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</si>
  <si>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</si>
  <si>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</si>
  <si>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</si>
  <si>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</si>
  <si>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</si>
  <si>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</si>
  <si>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</si>
  <si>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</si>
  <si>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</si>
  <si>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</si>
  <si>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</si>
  <si>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</si>
  <si>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</si>
  <si>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</si>
  <si>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</si>
  <si>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</si>
  <si>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</si>
  <si>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</si>
  <si>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</si>
  <si>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</si>
  <si>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</si>
  <si>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</si>
  <si>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</si>
  <si>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</si>
  <si>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</si>
  <si>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</si>
  <si>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</si>
  <si>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</si>
  <si>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</si>
  <si>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</si>
  <si>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</si>
  <si>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</si>
  <si>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</si>
  <si>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</si>
  <si>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</si>
  <si>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</si>
  <si>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</si>
  <si>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</si>
  <si>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</si>
  <si>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</si>
  <si>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</si>
  <si>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</si>
  <si>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</si>
  <si>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</si>
  <si>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</si>
  <si>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</si>
  <si>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</si>
  <si>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</si>
  <si>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</si>
  <si>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</si>
  <si>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</si>
  <si>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</si>
  <si>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</si>
  <si>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</si>
  <si>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</si>
  <si>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</si>
  <si>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</si>
  <si>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</si>
  <si>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</si>
  <si>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</si>
  <si>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</si>
  <si>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</si>
  <si>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</si>
  <si>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</si>
  <si>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</si>
  <si>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</si>
  <si>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</si>
  <si>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</si>
  <si>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</si>
  <si>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</si>
  <si>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</si>
  <si>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</si>
  <si>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</si>
  <si>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</si>
  <si>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</si>
  <si>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</si>
  <si>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</si>
  <si>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</si>
  <si>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</si>
  <si>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</si>
  <si>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</si>
  <si>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</si>
  <si>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</si>
  <si>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</si>
  <si>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</si>
  <si>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</si>
  <si>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</si>
  <si>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</si>
  <si>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</si>
  <si>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</si>
  <si>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</si>
  <si>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</si>
  <si>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</si>
  <si>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</si>
  <si>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</si>
  <si>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</si>
  <si>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</si>
  <si>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</si>
  <si>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</si>
  <si>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</si>
  <si>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</si>
  <si>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</si>
  <si>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</si>
  <si>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</si>
  <si>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</si>
  <si>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</si>
  <si>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</si>
  <si>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</si>
  <si>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</si>
  <si>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</si>
  <si>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</si>
  <si>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</si>
  <si>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</si>
  <si>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</si>
  <si>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</si>
  <si>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</si>
  <si>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</si>
  <si>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</si>
  <si>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</si>
  <si>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</si>
  <si>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</si>
  <si>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</si>
  <si>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</si>
  <si>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</si>
  <si>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</si>
  <si>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</si>
  <si>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</si>
  <si>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</si>
  <si>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</si>
  <si>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</si>
  <si>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</si>
  <si>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</si>
  <si>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</si>
  <si>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</si>
  <si>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</si>
  <si>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</si>
  <si>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</si>
  <si>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</si>
  <si>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</si>
  <si>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</si>
  <si>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</si>
  <si>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</si>
  <si>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</si>
  <si>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</si>
  <si>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</si>
  <si>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</si>
  <si>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</si>
  <si>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</si>
  <si>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</si>
  <si>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</si>
  <si>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</si>
  <si>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</si>
  <si>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</si>
  <si>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</si>
  <si>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</si>
  <si>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</si>
  <si>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</si>
  <si>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</si>
  <si>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</si>
  <si>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</si>
  <si>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</si>
  <si>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</si>
  <si>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</si>
  <si>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</si>
  <si>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</si>
  <si>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</si>
  <si>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</si>
  <si>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</si>
  <si>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</si>
  <si>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</si>
  <si>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</si>
  <si>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</si>
  <si>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</si>
  <si>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</si>
  <si>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</si>
  <si>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</si>
  <si>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</si>
  <si>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</si>
  <si>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</si>
  <si>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</si>
  <si>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</si>
  <si>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</si>
  <si>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製造管理システム1_12_0.accdb</t>
    <phoneticPr fontId="3"/>
  </si>
  <si>
    <t>C:\Users\asayama\Desktop</t>
    <phoneticPr fontId="3"/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</si>
  <si>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</si>
  <si>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</si>
  <si>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</si>
  <si>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</si>
  <si>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</si>
  <si>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</si>
  <si>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</si>
  <si>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</si>
  <si>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</si>
  <si>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</si>
  <si>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</si>
  <si>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</si>
  <si>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</si>
  <si>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</si>
  <si>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</si>
  <si>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</si>
  <si>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</si>
  <si>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</si>
  <si>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</si>
  <si>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</si>
  <si>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</si>
  <si>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</si>
  <si>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</si>
  <si>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</si>
  <si>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</si>
  <si>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</si>
  <si>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</si>
  <si>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</si>
  <si>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</si>
  <si>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</si>
  <si>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</si>
  <si>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</si>
  <si>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</si>
  <si>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</si>
  <si>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</si>
  <si>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</si>
  <si>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</si>
  <si>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</si>
  <si>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</si>
  <si>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</si>
  <si>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</si>
  <si>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</si>
  <si>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</si>
  <si>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</si>
  <si>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</si>
  <si>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</si>
  <si>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</si>
  <si>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</si>
  <si>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</si>
  <si>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</si>
  <si>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</si>
  <si>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</si>
  <si>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</si>
  <si>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ID</t>
    <phoneticPr fontId="3"/>
  </si>
  <si>
    <t>契約No</t>
    <phoneticPr fontId="3"/>
  </si>
  <si>
    <t>棟No</t>
    <phoneticPr fontId="3"/>
  </si>
  <si>
    <t>部屋No</t>
    <phoneticPr fontId="3"/>
  </si>
  <si>
    <t>施工店名</t>
    <rPh sb="0" eb="2">
      <t>セコウ</t>
    </rPh>
    <rPh sb="2" eb="3">
      <t>テン</t>
    </rPh>
    <rPh sb="3" eb="4">
      <t>メイ</t>
    </rPh>
    <phoneticPr fontId="3"/>
  </si>
  <si>
    <t>ErrMsg</t>
    <phoneticPr fontId="3"/>
  </si>
  <si>
    <t>システム更新日時</t>
    <rPh sb="4" eb="6">
      <t>コウシン</t>
    </rPh>
    <rPh sb="6" eb="8">
      <t>ニチジ</t>
    </rPh>
    <phoneticPr fontId="3"/>
  </si>
  <si>
    <t>WK_契約番号</t>
    <rPh sb="3" eb="5">
      <t>ケイヤク</t>
    </rPh>
    <rPh sb="5" eb="7">
      <t>バンゴウ</t>
    </rPh>
    <phoneticPr fontId="3"/>
  </si>
  <si>
    <t>個別Spec</t>
    <rPh sb="0" eb="2">
      <t>コベツ</t>
    </rPh>
    <phoneticPr fontId="3"/>
  </si>
  <si>
    <t>1.12.3</t>
    <phoneticPr fontId="3"/>
  </si>
  <si>
    <t>色</t>
    <rPh sb="0" eb="1">
      <t>イロ</t>
    </rPh>
    <phoneticPr fontId="3"/>
  </si>
  <si>
    <t>1.12.3</t>
    <phoneticPr fontId="3"/>
  </si>
  <si>
    <t>2.0.0　フルハイトライン追加</t>
    <rPh sb="14" eb="16">
      <t>ツイカ</t>
    </rPh>
    <phoneticPr fontId="3"/>
  </si>
  <si>
    <t>フルハイトライン数量</t>
    <rPh sb="8" eb="10">
      <t>スウリョウ</t>
    </rPh>
    <phoneticPr fontId="3"/>
  </si>
  <si>
    <t>2.0.0</t>
    <phoneticPr fontId="3"/>
  </si>
  <si>
    <t>テーブルID</t>
    <phoneticPr fontId="3"/>
  </si>
  <si>
    <t>WK_フルハイトライン製造数邸別</t>
  </si>
  <si>
    <t>Pri-
Key</t>
    <phoneticPr fontId="3"/>
  </si>
  <si>
    <t>Index</t>
    <phoneticPr fontId="3"/>
  </si>
  <si>
    <t>№</t>
    <phoneticPr fontId="3"/>
  </si>
  <si>
    <t>フィールドID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</si>
  <si>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</si>
  <si>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</si>
  <si>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</si>
  <si>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</si>
  <si>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</si>
  <si>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サイズ</t>
    <phoneticPr fontId="3"/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</si>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</sst>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1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ACCDB_TableDefines1/ACCDB&#12486;&#12540;&#12502;&#12523;&#23450;&#326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WK_Calendar_業務"/>
      <sheetName val="WK_Calendar_工場"/>
      <sheetName val="WK_FullHeightライン指示"/>
      <sheetName val="WK_Status"/>
      <sheetName val="WK_SxL品番読替表"/>
      <sheetName val="WK_チェックリスト"/>
      <sheetName val="WK_フルハイトライン製造数邸別"/>
      <sheetName val="WK_契約番号"/>
      <sheetName val="WK_工程表データ"/>
      <sheetName val="WK_札データ"/>
      <sheetName val="WK_札データ_集計"/>
      <sheetName val="WK_札データ_備考"/>
      <sheetName val="WK_札台帳データ"/>
      <sheetName val="WK_上枠下地グループ集計"/>
      <sheetName val="WK_製造指示"/>
      <sheetName val="WK_製造指示_Clone"/>
      <sheetName val="WK_製造日別集計データ"/>
      <sheetName val="WK_対象日付"/>
      <sheetName val="WK_台帳集計データ"/>
      <sheetName val="WK_追加製造"/>
      <sheetName val="WK_枠出荷表"/>
      <sheetName val="WK_框材使用数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236</v>
      </c>
      <c r="Q2" s="19" t="s">
        <v>237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/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3" t="s">
        <v>0</v>
      </c>
      <c r="C3" s="44"/>
      <c r="D3" s="45"/>
      <c r="E3" s="5" t="s">
        <v>53</v>
      </c>
      <c r="F3" s="55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9" t="s">
        <v>2</v>
      </c>
      <c r="AA3" s="40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54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65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67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238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240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240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241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244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246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247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248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249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250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251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252</v>
      </c>
      <c r="V22" s="1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253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254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68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75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 t="s">
        <v>303</v>
      </c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176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13"/>
      <c r="C11" s="13"/>
      <c r="D11" s="13"/>
      <c r="E11" s="8" t="s">
        <v>299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11</v>
      </c>
      <c r="W11" s="9">
        <v>20</v>
      </c>
      <c r="X11" s="9" t="s">
        <v>60</v>
      </c>
      <c r="Y11" s="9" t="s">
        <v>28</v>
      </c>
      <c r="Z11" s="10" t="s">
        <v>300</v>
      </c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178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32"/>
      <c r="D16" s="32"/>
      <c r="E16" s="11" t="s">
        <v>301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2" t="s">
        <v>11</v>
      </c>
      <c r="W16" s="14">
        <v>10</v>
      </c>
      <c r="X16" s="14" t="s">
        <v>60</v>
      </c>
      <c r="Y16" s="14" t="s">
        <v>28</v>
      </c>
      <c r="Z16" s="15" t="s">
        <v>302</v>
      </c>
      <c r="AA16" s="15"/>
    </row>
    <row r="17" spans="1:27" s="11" customFormat="1" x14ac:dyDescent="0.15">
      <c r="A17" s="12">
        <f t="shared" si="0"/>
        <v>13</v>
      </c>
      <c r="B17" s="13"/>
      <c r="C17" s="18"/>
      <c r="D17" s="1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36"/>
      <c r="D18" s="36"/>
      <c r="E18" s="11" t="s">
        <v>304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6" t="s">
        <v>80</v>
      </c>
      <c r="W18" s="14"/>
      <c r="X18" s="14" t="s">
        <v>60</v>
      </c>
      <c r="Y18" s="14" t="s">
        <v>64</v>
      </c>
      <c r="Z18" s="15" t="s">
        <v>305</v>
      </c>
      <c r="AA18" s="15"/>
    </row>
    <row r="19" spans="1:27" s="11" customFormat="1" x14ac:dyDescent="0.15">
      <c r="A19" s="12">
        <f t="shared" si="0"/>
        <v>15</v>
      </c>
      <c r="B19" s="13"/>
      <c r="C19" s="18"/>
      <c r="D19" s="1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2">
        <f t="shared" si="0"/>
        <v>16</v>
      </c>
      <c r="B20" s="18"/>
      <c r="C20" s="18"/>
      <c r="D20" s="1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2">
        <f t="shared" si="0"/>
        <v>17</v>
      </c>
      <c r="B21" s="18"/>
      <c r="C21" s="18"/>
      <c r="D21" s="1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s="11" customFormat="1" x14ac:dyDescent="0.15">
      <c r="A22" s="12">
        <f t="shared" si="0"/>
        <v>18</v>
      </c>
      <c r="B22" s="18"/>
      <c r="C22" s="18"/>
      <c r="D22" s="18"/>
      <c r="E22" s="11" t="s">
        <v>170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8" t="s">
        <v>56</v>
      </c>
      <c r="W22" s="14">
        <v>255</v>
      </c>
      <c r="X22" s="14" t="s">
        <v>60</v>
      </c>
      <c r="Y22" s="14" t="s">
        <v>58</v>
      </c>
      <c r="Z22" s="15"/>
      <c r="AA22" s="15"/>
    </row>
    <row r="23" spans="1:27" s="11" customFormat="1" x14ac:dyDescent="0.15">
      <c r="A23" s="12">
        <f t="shared" si="0"/>
        <v>19</v>
      </c>
      <c r="B23" s="18"/>
      <c r="C23" s="18"/>
      <c r="D23" s="18"/>
      <c r="E23" s="11" t="s">
        <v>171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8" t="s">
        <v>56</v>
      </c>
      <c r="W23" s="14">
        <v>255</v>
      </c>
      <c r="X23" s="14" t="s">
        <v>60</v>
      </c>
      <c r="Y23" s="14" t="s">
        <v>58</v>
      </c>
      <c r="Z23" s="15"/>
      <c r="AA23" s="15"/>
    </row>
    <row r="24" spans="1:27" s="11" customFormat="1" x14ac:dyDescent="0.15">
      <c r="A24" s="12">
        <f t="shared" si="0"/>
        <v>20</v>
      </c>
      <c r="B24" s="18"/>
      <c r="C24" s="18"/>
      <c r="D24" s="18"/>
      <c r="E24" s="11" t="s">
        <v>172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8" t="s">
        <v>56</v>
      </c>
      <c r="W24" s="14">
        <v>255</v>
      </c>
      <c r="X24" s="14" t="s">
        <v>60</v>
      </c>
      <c r="Y24" s="14" t="s">
        <v>58</v>
      </c>
      <c r="Z24" s="15"/>
      <c r="AA24" s="15"/>
    </row>
    <row r="25" spans="1:27" x14ac:dyDescent="0.15">
      <c r="A25" s="12">
        <f t="shared" si="0"/>
        <v>21</v>
      </c>
      <c r="E25" s="11" t="s">
        <v>173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2">
        <f t="shared" si="0"/>
        <v>22</v>
      </c>
      <c r="E26" s="11" t="s">
        <v>180</v>
      </c>
      <c r="V26" s="17" t="s">
        <v>56</v>
      </c>
      <c r="W26" s="14">
        <v>255</v>
      </c>
      <c r="X26" s="14" t="s">
        <v>60</v>
      </c>
      <c r="Y2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9 A1:A1048576"/>
    <dataValidation type="whole" imeMode="off" operator="greaterThanOrEqual" allowBlank="1" showInputMessage="1" showErrorMessage="1" sqref="F2:U65539 W3:W65539">
      <formula1>1</formula1>
    </dataValidation>
    <dataValidation type="list" imeMode="on" allowBlank="1" showInputMessage="1" showErrorMessage="1" sqref="X4:X65539">
      <formula1>INDIRECT($AC$1,FALSE)</formula1>
    </dataValidation>
    <dataValidation type="list" allowBlank="1" showInputMessage="1" showErrorMessage="1" sqref="Y4:Y65539">
      <formula1>INDIRECT($AC$2,FALSE)</formula1>
    </dataValidation>
    <dataValidation type="list" allowBlank="1" showInputMessage="1" showErrorMessage="1" sqref="V4:V65539">
      <formula1>INDIRECT($AB$1,FALSE)</formula1>
    </dataValidation>
    <dataValidation imeMode="on" allowBlank="1" showInputMessage="1" showErrorMessage="1" sqref="W1:AA2 Z4:AA65539 C3:D9 B9 B1:B4 B10:D65539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90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0" t="s">
        <v>255</v>
      </c>
      <c r="C33" s="60"/>
      <c r="D33" s="60"/>
      <c r="E33" s="11" t="s">
        <v>175</v>
      </c>
      <c r="V33" s="1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113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1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256</v>
      </c>
      <c r="V33" s="18" t="s">
        <v>63</v>
      </c>
      <c r="X33" s="14" t="s">
        <v>64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257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181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1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1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1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1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1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1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1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1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1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1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1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1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1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1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1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1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258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260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261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265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266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268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269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270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271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272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273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119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41" t="s">
        <v>274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41"/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1">
    <mergeCell ref="B30:B31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0:D65536 B10:B30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138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139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144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216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11</v>
      </c>
      <c r="W20" s="14">
        <v>10</v>
      </c>
      <c r="X20" s="14"/>
      <c r="Y20" s="14"/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1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1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1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1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1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1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1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1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1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1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1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1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1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1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1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147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275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2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280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282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283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284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285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287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288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290</v>
      </c>
      <c r="V22" s="18" t="s">
        <v>80</v>
      </c>
      <c r="X22" s="14" t="s">
        <v>60</v>
      </c>
      <c r="Y22" s="14" t="s">
        <v>64</v>
      </c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224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1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1" customWidth="1"/>
    <col min="4" max="4" width="12.625" style="31" customWidth="1"/>
    <col min="5" max="5" width="13.125" style="11" customWidth="1"/>
    <col min="6" max="6" width="3.75" style="14" customWidth="1"/>
    <col min="7" max="21" width="2.625" style="14" customWidth="1"/>
    <col min="22" max="22" width="8.75" style="31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298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9" t="s">
        <v>48</v>
      </c>
      <c r="B3" s="43" t="s">
        <v>0</v>
      </c>
      <c r="C3" s="44"/>
      <c r="D3" s="45"/>
      <c r="E3" s="28" t="s">
        <v>53</v>
      </c>
      <c r="F3" s="55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291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292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293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ht="11.25" customHeigh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x14ac:dyDescent="0.15">
      <c r="A10" s="12">
        <f t="shared" si="0"/>
        <v>6</v>
      </c>
      <c r="B10" s="13"/>
      <c r="C10" s="13"/>
      <c r="D10" s="13"/>
      <c r="E10" s="8" t="s">
        <v>295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296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31" t="s">
        <v>56</v>
      </c>
      <c r="W11" s="9">
        <v>255</v>
      </c>
      <c r="X11" s="9" t="s">
        <v>60</v>
      </c>
      <c r="Y11" s="9" t="s">
        <v>28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31"/>
      <c r="D12" s="31"/>
      <c r="E12" s="11" t="s">
        <v>297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31" t="s">
        <v>13</v>
      </c>
      <c r="W12" s="14"/>
      <c r="X12" s="14" t="s">
        <v>60</v>
      </c>
      <c r="Y12" s="14" t="s">
        <v>64</v>
      </c>
      <c r="Z12" s="15"/>
      <c r="AA12" s="15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C3:D8 B1:B4 C1:U1 B9:D65524 Z4:AA65524"/>
    <dataValidation type="list" allowBlank="1" showInputMessage="1" showErrorMessage="1" sqref="V4:V65524">
      <formula1>INDIRECT($AB$1,FALSE)</formula1>
    </dataValidation>
    <dataValidation type="list" allowBlank="1" showInputMessage="1" showErrorMessage="1" sqref="Y4:Y65524">
      <formula1>INDIRECT($AC$2,FALSE)</formula1>
    </dataValidation>
    <dataValidation type="list" imeMode="on" allowBlank="1" showInputMessage="1" showErrorMessage="1" sqref="X4:X65524">
      <formula1>INDIRECT($AC$1,FALSE)</formula1>
    </dataValidation>
    <dataValidation type="whole" imeMode="off" operator="greaterThanOrEqual" allowBlank="1" showInputMessage="1" showErrorMessage="1" sqref="F2:U65524 W3:W65524">
      <formula1>1</formula1>
    </dataValidation>
    <dataValidation imeMode="off" allowBlank="1" showInputMessage="1" showErrorMessage="1" sqref="E3:E65524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S9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11" width="2.625" style="14" customWidth="1"/>
    <col min="12" max="12" width="8.75" style="36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8"/>
      <c r="L1" s="52" t="s">
        <v>4</v>
      </c>
      <c r="M1" s="41"/>
      <c r="N1" s="41"/>
      <c r="O1" s="41"/>
      <c r="P1" s="41"/>
      <c r="Q1" s="41"/>
      <c r="R1" s="1" t="str">
        <f>"設定!R2C1:R"&amp;COUNTA([1]設定!$A:$A)&amp;"C1"</f>
        <v>設定!R2C1:R12C1</v>
      </c>
      <c r="S1" s="1" t="str">
        <f>"設定!R2C10:R"&amp;COUNTA([1]設定!$J:$J)&amp;"C10"</f>
        <v>設定!R2C10:R4C10</v>
      </c>
    </row>
    <row r="2" spans="1:19" s="2" customFormat="1" ht="11.25" customHeight="1" x14ac:dyDescent="0.15">
      <c r="A2" s="37" t="s">
        <v>306</v>
      </c>
      <c r="B2" s="38"/>
      <c r="C2" s="49" t="s">
        <v>307</v>
      </c>
      <c r="D2" s="50"/>
      <c r="E2" s="51"/>
      <c r="F2" s="54" t="s">
        <v>308</v>
      </c>
      <c r="G2" s="56" t="s">
        <v>309</v>
      </c>
      <c r="H2" s="56"/>
      <c r="I2" s="56"/>
      <c r="J2" s="56"/>
      <c r="K2" s="57"/>
      <c r="L2" s="53"/>
      <c r="M2" s="42"/>
      <c r="N2" s="42"/>
      <c r="O2" s="42"/>
      <c r="P2" s="42"/>
      <c r="Q2" s="42"/>
      <c r="R2" s="1"/>
      <c r="S2" s="1" t="str">
        <f>"設定!R2C13:R"&amp;COUNTA([1]設定!$M:$M)&amp;"C13"</f>
        <v>設定!R2C13:R4C13</v>
      </c>
    </row>
    <row r="3" spans="1:19" s="6" customFormat="1" ht="11.25" customHeight="1" x14ac:dyDescent="0.15">
      <c r="A3" s="34" t="s">
        <v>310</v>
      </c>
      <c r="B3" s="43" t="s">
        <v>0</v>
      </c>
      <c r="C3" s="44"/>
      <c r="D3" s="45"/>
      <c r="E3" s="33" t="s">
        <v>311</v>
      </c>
      <c r="F3" s="55"/>
      <c r="G3" s="35" t="s">
        <v>312</v>
      </c>
      <c r="H3" s="35" t="s">
        <v>313</v>
      </c>
      <c r="I3" s="35" t="s">
        <v>314</v>
      </c>
      <c r="J3" s="35" t="s">
        <v>315</v>
      </c>
      <c r="K3" s="35" t="s">
        <v>316</v>
      </c>
      <c r="L3" s="35" t="s">
        <v>1</v>
      </c>
      <c r="M3" s="35" t="s">
        <v>317</v>
      </c>
      <c r="N3" s="35" t="s">
        <v>18</v>
      </c>
      <c r="O3" s="35" t="s">
        <v>19</v>
      </c>
      <c r="P3" s="39" t="s">
        <v>2</v>
      </c>
      <c r="Q3" s="40"/>
    </row>
    <row r="4" spans="1:19" s="11" customFormat="1" ht="11.25" customHeight="1" x14ac:dyDescent="0.15">
      <c r="A4" s="7">
        <f>ROW()-4</f>
        <v>0</v>
      </c>
      <c r="B4" s="24"/>
      <c r="C4" s="13"/>
      <c r="D4" s="13"/>
      <c r="E4" s="24" t="s">
        <v>76</v>
      </c>
      <c r="F4" s="9">
        <v>1</v>
      </c>
      <c r="G4" s="9"/>
      <c r="H4" s="9"/>
      <c r="I4" s="9"/>
      <c r="J4" s="9"/>
      <c r="K4" s="9"/>
      <c r="L4" s="17" t="s">
        <v>56</v>
      </c>
      <c r="M4" s="9">
        <v>10</v>
      </c>
      <c r="N4" s="9" t="s">
        <v>57</v>
      </c>
      <c r="O4" s="9" t="s">
        <v>58</v>
      </c>
      <c r="P4" s="10"/>
      <c r="Q4" s="10"/>
    </row>
    <row r="5" spans="1:19" s="11" customFormat="1" x14ac:dyDescent="0.15">
      <c r="A5" s="12">
        <f>ROW()-4</f>
        <v>1</v>
      </c>
      <c r="B5" s="13"/>
      <c r="C5" s="13"/>
      <c r="D5" s="13"/>
      <c r="E5" s="13" t="s">
        <v>77</v>
      </c>
      <c r="F5" s="9">
        <v>2</v>
      </c>
      <c r="G5" s="9"/>
      <c r="H5" s="9"/>
      <c r="I5" s="9"/>
      <c r="J5" s="9"/>
      <c r="K5" s="9"/>
      <c r="L5" s="17" t="s">
        <v>56</v>
      </c>
      <c r="M5" s="9">
        <v>10</v>
      </c>
      <c r="N5" s="9" t="s">
        <v>57</v>
      </c>
      <c r="O5" s="9" t="s">
        <v>58</v>
      </c>
      <c r="P5" s="10"/>
      <c r="Q5" s="10"/>
    </row>
    <row r="6" spans="1:19" s="11" customFormat="1" x14ac:dyDescent="0.15">
      <c r="A6" s="7">
        <f>ROW()-4</f>
        <v>2</v>
      </c>
      <c r="B6" s="13"/>
      <c r="C6" s="13"/>
      <c r="D6" s="13"/>
      <c r="E6" s="13" t="s">
        <v>78</v>
      </c>
      <c r="F6" s="9">
        <v>3</v>
      </c>
      <c r="G6" s="9"/>
      <c r="H6" s="9"/>
      <c r="I6" s="9"/>
      <c r="J6" s="9"/>
      <c r="K6" s="9"/>
      <c r="L6" s="17" t="s">
        <v>56</v>
      </c>
      <c r="M6" s="9">
        <v>10</v>
      </c>
      <c r="N6" s="9" t="s">
        <v>57</v>
      </c>
      <c r="O6" s="9" t="s">
        <v>58</v>
      </c>
      <c r="P6" s="10"/>
      <c r="Q6" s="10"/>
    </row>
    <row r="7" spans="1:19" s="11" customFormat="1" x14ac:dyDescent="0.15">
      <c r="A7" s="12">
        <f>ROW()-4</f>
        <v>3</v>
      </c>
      <c r="B7" s="13"/>
      <c r="C7" s="13"/>
      <c r="D7" s="13"/>
      <c r="E7" s="13" t="s">
        <v>318</v>
      </c>
      <c r="F7" s="9"/>
      <c r="G7" s="9"/>
      <c r="H7" s="9"/>
      <c r="I7" s="9"/>
      <c r="J7" s="9"/>
      <c r="K7" s="9"/>
      <c r="L7" s="17" t="s">
        <v>80</v>
      </c>
      <c r="M7" s="9"/>
      <c r="N7" s="9" t="s">
        <v>60</v>
      </c>
      <c r="O7" s="9" t="s">
        <v>64</v>
      </c>
      <c r="P7" s="10"/>
      <c r="Q7" s="10"/>
    </row>
    <row r="8" spans="1:19" s="11" customFormat="1" x14ac:dyDescent="0.15">
      <c r="A8" s="7">
        <f>ROW()-4</f>
        <v>4</v>
      </c>
      <c r="B8" s="13"/>
      <c r="C8" s="13"/>
      <c r="D8" s="13"/>
      <c r="E8" s="13" t="s">
        <v>319</v>
      </c>
      <c r="F8" s="9"/>
      <c r="G8" s="9"/>
      <c r="H8" s="9"/>
      <c r="I8" s="9"/>
      <c r="J8" s="9"/>
      <c r="K8" s="9"/>
      <c r="L8" s="17" t="s">
        <v>80</v>
      </c>
      <c r="M8" s="9"/>
      <c r="N8" s="9" t="s">
        <v>60</v>
      </c>
      <c r="O8" s="9" t="s">
        <v>64</v>
      </c>
      <c r="P8" s="10"/>
      <c r="Q8" s="10"/>
    </row>
    <row r="9" spans="1:19" s="11" customFormat="1" x14ac:dyDescent="0.15">
      <c r="A9" s="12"/>
      <c r="B9" s="13"/>
      <c r="C9" s="13"/>
      <c r="D9" s="13"/>
      <c r="E9" s="13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 x14ac:dyDescent="0.15">
      <c r="A10" s="7"/>
      <c r="B10" s="13"/>
      <c r="C10" s="13"/>
      <c r="D10" s="13"/>
      <c r="E10" s="13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 x14ac:dyDescent="0.15">
      <c r="A11" s="12"/>
      <c r="B11" s="13"/>
      <c r="C11" s="13"/>
      <c r="D11" s="13"/>
      <c r="E11" s="13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 x14ac:dyDescent="0.15">
      <c r="A12" s="7"/>
      <c r="B12" s="13"/>
      <c r="C12" s="13"/>
      <c r="D12" s="13"/>
      <c r="E12" s="13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 x14ac:dyDescent="0.15">
      <c r="A13" s="12"/>
      <c r="B13" s="13"/>
      <c r="C13" s="13"/>
      <c r="D13" s="13"/>
      <c r="E13" s="13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 x14ac:dyDescent="0.15">
      <c r="A14" s="7"/>
      <c r="B14" s="13"/>
      <c r="C14" s="36"/>
      <c r="D14" s="36"/>
      <c r="E14" s="13"/>
      <c r="F14" s="14"/>
      <c r="G14" s="14"/>
      <c r="H14" s="14"/>
      <c r="I14" s="14"/>
      <c r="J14" s="14"/>
      <c r="K14" s="14"/>
      <c r="L14" s="17"/>
      <c r="M14" s="14"/>
      <c r="N14" s="9"/>
      <c r="O14" s="14"/>
      <c r="P14" s="15"/>
      <c r="Q14" s="15"/>
    </row>
    <row r="15" spans="1:19" s="11" customFormat="1" x14ac:dyDescent="0.15">
      <c r="A15" s="12"/>
      <c r="B15" s="13"/>
      <c r="C15" s="36"/>
      <c r="D15" s="36"/>
      <c r="E15" s="13"/>
      <c r="F15" s="14"/>
      <c r="G15" s="14"/>
      <c r="H15" s="14"/>
      <c r="I15" s="14"/>
      <c r="J15" s="14"/>
      <c r="K15" s="14"/>
      <c r="L15" s="17"/>
      <c r="M15" s="14"/>
      <c r="N15" s="9"/>
      <c r="O15" s="14"/>
      <c r="P15" s="15"/>
      <c r="Q15" s="15"/>
    </row>
    <row r="16" spans="1:19" s="11" customFormat="1" x14ac:dyDescent="0.15">
      <c r="A16" s="7"/>
      <c r="B16" s="13"/>
      <c r="C16" s="36"/>
      <c r="D16" s="36"/>
      <c r="E16" s="13"/>
      <c r="F16" s="14"/>
      <c r="G16" s="14"/>
      <c r="H16" s="14"/>
      <c r="I16" s="14"/>
      <c r="J16" s="14"/>
      <c r="K16" s="14"/>
      <c r="L16" s="17"/>
      <c r="M16" s="14"/>
      <c r="N16" s="9"/>
      <c r="O16" s="14"/>
      <c r="P16" s="15"/>
      <c r="Q16" s="15"/>
    </row>
    <row r="17" spans="1:17" s="11" customFormat="1" x14ac:dyDescent="0.15">
      <c r="A17" s="12"/>
      <c r="B17" s="36"/>
      <c r="C17" s="36"/>
      <c r="D17" s="36"/>
      <c r="E17" s="36"/>
      <c r="F17" s="14"/>
      <c r="G17" s="14"/>
      <c r="H17" s="14"/>
      <c r="I17" s="14"/>
      <c r="J17" s="14"/>
      <c r="K17" s="14"/>
      <c r="L17" s="17"/>
      <c r="M17" s="14"/>
      <c r="N17" s="9"/>
      <c r="O17" s="14"/>
      <c r="P17" s="15"/>
      <c r="Q17" s="15"/>
    </row>
    <row r="18" spans="1:17" s="11" customFormat="1" x14ac:dyDescent="0.15">
      <c r="A18" s="7"/>
      <c r="B18" s="36"/>
      <c r="C18" s="36"/>
      <c r="D18" s="36"/>
      <c r="E18" s="36"/>
      <c r="F18" s="14"/>
      <c r="G18" s="14"/>
      <c r="H18" s="14"/>
      <c r="I18" s="14"/>
      <c r="J18" s="14"/>
      <c r="K18" s="14"/>
      <c r="L18" s="17"/>
      <c r="M18" s="14"/>
      <c r="N18" s="9"/>
      <c r="O18" s="14"/>
      <c r="P18" s="15"/>
      <c r="Q18" s="15"/>
    </row>
    <row r="19" spans="1:17" s="11" customFormat="1" x14ac:dyDescent="0.15">
      <c r="A19" s="12"/>
      <c r="B19" s="36"/>
      <c r="C19" s="36"/>
      <c r="D19" s="36"/>
      <c r="E19" s="36"/>
      <c r="F19" s="14"/>
      <c r="G19" s="14"/>
      <c r="H19" s="14"/>
      <c r="I19" s="14"/>
      <c r="J19" s="14"/>
      <c r="K19" s="14"/>
      <c r="L19" s="17"/>
      <c r="M19" s="14"/>
      <c r="N19" s="9"/>
      <c r="O19" s="14"/>
      <c r="P19" s="15"/>
      <c r="Q19" s="15"/>
    </row>
    <row r="20" spans="1:17" s="11" customFormat="1" x14ac:dyDescent="0.15">
      <c r="A20" s="7"/>
      <c r="B20" s="36"/>
      <c r="C20" s="36"/>
      <c r="D20" s="36"/>
      <c r="E20" s="36"/>
      <c r="F20" s="14"/>
      <c r="G20" s="14"/>
      <c r="H20" s="14"/>
      <c r="I20" s="14"/>
      <c r="J20" s="14"/>
      <c r="K20" s="14"/>
      <c r="L20" s="17"/>
      <c r="M20" s="14"/>
      <c r="N20" s="9"/>
      <c r="O20" s="14"/>
      <c r="P20" s="15"/>
      <c r="Q20" s="15"/>
    </row>
    <row r="21" spans="1:17" s="11" customFormat="1" x14ac:dyDescent="0.15">
      <c r="A21" s="12"/>
      <c r="B21" s="36"/>
      <c r="C21" s="36"/>
      <c r="D21" s="36"/>
      <c r="E21" s="36"/>
      <c r="F21" s="14"/>
      <c r="G21" s="14"/>
      <c r="H21" s="14"/>
      <c r="I21" s="14"/>
      <c r="J21" s="14"/>
      <c r="K21" s="14"/>
      <c r="L21" s="17"/>
      <c r="M21" s="14"/>
      <c r="N21" s="9"/>
      <c r="O21" s="14"/>
      <c r="P21" s="15"/>
      <c r="Q21" s="15"/>
    </row>
    <row r="22" spans="1:17" x14ac:dyDescent="0.15">
      <c r="A22" s="7"/>
      <c r="E22" s="36"/>
      <c r="L22" s="17"/>
      <c r="N22" s="9"/>
    </row>
    <row r="23" spans="1:17" x14ac:dyDescent="0.15">
      <c r="A23" s="12"/>
      <c r="E23" s="36"/>
      <c r="L23" s="17"/>
      <c r="N23" s="9"/>
    </row>
    <row r="24" spans="1:17" x14ac:dyDescent="0.15">
      <c r="A24" s="7"/>
      <c r="E24" s="36"/>
      <c r="L24" s="17"/>
      <c r="N24" s="9"/>
    </row>
    <row r="25" spans="1:17" x14ac:dyDescent="0.15">
      <c r="A25" s="12"/>
      <c r="E25" s="36"/>
      <c r="L25" s="17"/>
      <c r="N25" s="9"/>
    </row>
    <row r="26" spans="1:17" x14ac:dyDescent="0.15">
      <c r="A26" s="7"/>
      <c r="E26" s="36"/>
      <c r="L26" s="17"/>
      <c r="N26" s="9"/>
    </row>
    <row r="27" spans="1:17" x14ac:dyDescent="0.15">
      <c r="A27" s="12"/>
      <c r="E27" s="36"/>
      <c r="L27" s="17"/>
      <c r="N27" s="9"/>
    </row>
    <row r="28" spans="1:17" x14ac:dyDescent="0.15">
      <c r="A28" s="7"/>
      <c r="E28" s="36"/>
      <c r="L28" s="17"/>
      <c r="N28" s="9"/>
    </row>
    <row r="29" spans="1:17" x14ac:dyDescent="0.15">
      <c r="A29" s="12"/>
      <c r="E29" s="36"/>
      <c r="L29" s="17"/>
      <c r="N29" s="9"/>
    </row>
    <row r="30" spans="1:17" x14ac:dyDescent="0.15">
      <c r="A30" s="7"/>
      <c r="E30" s="36"/>
      <c r="L30" s="17"/>
      <c r="N30" s="9"/>
    </row>
    <row r="31" spans="1:17" x14ac:dyDescent="0.15">
      <c r="A31" s="12"/>
      <c r="E31" s="36"/>
      <c r="L31" s="17"/>
      <c r="N31" s="9"/>
    </row>
    <row r="32" spans="1:17" x14ac:dyDescent="0.15">
      <c r="A32" s="7"/>
      <c r="E32" s="36"/>
      <c r="L32" s="17"/>
      <c r="N32" s="9"/>
    </row>
    <row r="33" spans="1:14" x14ac:dyDescent="0.15">
      <c r="A33" s="12"/>
      <c r="E33" s="36"/>
      <c r="L33" s="17"/>
      <c r="N33" s="9"/>
    </row>
    <row r="34" spans="1:14" x14ac:dyDescent="0.15">
      <c r="A34" s="7"/>
      <c r="E34" s="36"/>
      <c r="L34" s="17"/>
      <c r="N34" s="9"/>
    </row>
    <row r="35" spans="1:14" x14ac:dyDescent="0.15">
      <c r="A35" s="12"/>
      <c r="E35" s="36"/>
      <c r="L35" s="17"/>
      <c r="N35" s="9"/>
    </row>
    <row r="36" spans="1:14" x14ac:dyDescent="0.15">
      <c r="A36" s="7"/>
      <c r="E36" s="36"/>
      <c r="L36" s="17"/>
      <c r="N36" s="9"/>
    </row>
    <row r="37" spans="1:14" x14ac:dyDescent="0.15">
      <c r="A37" s="12"/>
      <c r="E37" s="36"/>
      <c r="L37" s="17"/>
      <c r="N37" s="9"/>
    </row>
    <row r="38" spans="1:14" x14ac:dyDescent="0.15">
      <c r="A38" s="7"/>
      <c r="E38" s="36"/>
      <c r="L38" s="17"/>
      <c r="N38" s="9"/>
    </row>
    <row r="39" spans="1:14" x14ac:dyDescent="0.15">
      <c r="A39" s="12"/>
      <c r="E39" s="36"/>
      <c r="L39" s="17"/>
      <c r="N39" s="9"/>
    </row>
    <row r="40" spans="1:14" x14ac:dyDescent="0.15">
      <c r="A40" s="7"/>
      <c r="L40" s="17"/>
      <c r="N40" s="9"/>
    </row>
    <row r="41" spans="1:14" x14ac:dyDescent="0.15">
      <c r="A41" s="12"/>
      <c r="L41" s="17"/>
      <c r="N41" s="9"/>
    </row>
    <row r="42" spans="1:14" x14ac:dyDescent="0.15">
      <c r="A42" s="7"/>
      <c r="L42" s="17"/>
      <c r="N42" s="9"/>
    </row>
    <row r="43" spans="1:14" x14ac:dyDescent="0.15">
      <c r="A43" s="12"/>
      <c r="L43" s="17"/>
      <c r="N43" s="9"/>
    </row>
    <row r="44" spans="1:14" x14ac:dyDescent="0.15">
      <c r="A44" s="7"/>
      <c r="L44" s="17"/>
      <c r="N44" s="9"/>
    </row>
    <row r="45" spans="1:14" x14ac:dyDescent="0.15">
      <c r="A45" s="12"/>
      <c r="L45" s="17"/>
      <c r="N45" s="9"/>
    </row>
    <row r="46" spans="1:14" x14ac:dyDescent="0.15">
      <c r="A46" s="7"/>
      <c r="L46" s="17"/>
      <c r="N46" s="9"/>
    </row>
    <row r="47" spans="1:14" x14ac:dyDescent="0.15">
      <c r="A47" s="12"/>
      <c r="L47" s="17"/>
      <c r="N47" s="9"/>
    </row>
    <row r="48" spans="1:14" x14ac:dyDescent="0.15">
      <c r="A48" s="7"/>
      <c r="L48" s="17"/>
      <c r="N48" s="9"/>
    </row>
    <row r="49" spans="1:14" x14ac:dyDescent="0.15">
      <c r="A49" s="12"/>
      <c r="L49" s="17"/>
      <c r="N49" s="9"/>
    </row>
    <row r="50" spans="1:14" x14ac:dyDescent="0.15">
      <c r="A50" s="7"/>
      <c r="L50" s="17"/>
      <c r="N50" s="9"/>
    </row>
    <row r="51" spans="1:14" x14ac:dyDescent="0.15">
      <c r="A51" s="12"/>
      <c r="L51" s="17"/>
      <c r="N51" s="9"/>
    </row>
    <row r="52" spans="1:14" x14ac:dyDescent="0.15">
      <c r="A52" s="7"/>
      <c r="L52" s="17"/>
      <c r="N52" s="9"/>
    </row>
    <row r="53" spans="1:14" x14ac:dyDescent="0.15">
      <c r="A53" s="12"/>
      <c r="L53" s="17"/>
      <c r="N53" s="9"/>
    </row>
    <row r="54" spans="1:14" x14ac:dyDescent="0.15">
      <c r="A54" s="7"/>
      <c r="L54" s="17"/>
      <c r="N54" s="9"/>
    </row>
    <row r="55" spans="1:14" x14ac:dyDescent="0.15">
      <c r="A55" s="12"/>
      <c r="L55" s="17"/>
      <c r="N55" s="9"/>
    </row>
    <row r="56" spans="1:14" x14ac:dyDescent="0.15">
      <c r="A56" s="7"/>
      <c r="L56" s="17"/>
      <c r="N56" s="9"/>
    </row>
    <row r="57" spans="1:14" x14ac:dyDescent="0.15">
      <c r="A57" s="12"/>
      <c r="L57" s="17"/>
      <c r="N57" s="9"/>
    </row>
    <row r="58" spans="1:14" x14ac:dyDescent="0.15">
      <c r="A58" s="7"/>
      <c r="L58" s="17"/>
      <c r="N58" s="9"/>
    </row>
    <row r="59" spans="1:14" x14ac:dyDescent="0.15">
      <c r="A59" s="12"/>
      <c r="L59" s="17"/>
      <c r="N59" s="9"/>
    </row>
    <row r="60" spans="1:14" x14ac:dyDescent="0.15">
      <c r="A60" s="7"/>
      <c r="L60" s="17"/>
      <c r="N60" s="9"/>
    </row>
    <row r="61" spans="1:14" x14ac:dyDescent="0.15">
      <c r="A61" s="12"/>
      <c r="L61" s="17"/>
      <c r="N61" s="9"/>
    </row>
    <row r="62" spans="1:14" x14ac:dyDescent="0.15">
      <c r="A62" s="7"/>
      <c r="L62" s="17"/>
      <c r="N62" s="9"/>
    </row>
    <row r="63" spans="1:14" x14ac:dyDescent="0.15">
      <c r="A63" s="12"/>
      <c r="L63" s="17"/>
      <c r="N63" s="9"/>
    </row>
    <row r="64" spans="1:14" x14ac:dyDescent="0.15">
      <c r="A64" s="7"/>
      <c r="L64" s="17"/>
      <c r="N64" s="9"/>
    </row>
    <row r="65" spans="1:14" x14ac:dyDescent="0.15">
      <c r="A65" s="12"/>
      <c r="L65" s="17"/>
      <c r="N65" s="9"/>
    </row>
    <row r="66" spans="1:14" x14ac:dyDescent="0.15">
      <c r="A66" s="7"/>
      <c r="L66" s="17"/>
      <c r="N66" s="9"/>
    </row>
    <row r="67" spans="1:14" x14ac:dyDescent="0.15">
      <c r="A67" s="12"/>
      <c r="L67" s="17"/>
      <c r="N67" s="9"/>
    </row>
    <row r="68" spans="1:14" x14ac:dyDescent="0.15">
      <c r="A68" s="7"/>
      <c r="L68" s="17"/>
      <c r="N68" s="9"/>
    </row>
    <row r="69" spans="1:14" x14ac:dyDescent="0.15">
      <c r="A69" s="12"/>
      <c r="L69" s="17"/>
      <c r="N69" s="9"/>
    </row>
    <row r="70" spans="1:14" x14ac:dyDescent="0.15">
      <c r="A70" s="7"/>
      <c r="L70" s="17"/>
      <c r="N70" s="9"/>
    </row>
    <row r="71" spans="1:14" x14ac:dyDescent="0.15">
      <c r="A71" s="12"/>
      <c r="L71" s="17"/>
      <c r="N71" s="9"/>
    </row>
    <row r="72" spans="1:14" x14ac:dyDescent="0.15">
      <c r="A72" s="7"/>
      <c r="L72" s="17"/>
      <c r="N72" s="9"/>
    </row>
    <row r="73" spans="1:14" x14ac:dyDescent="0.15">
      <c r="A73" s="12"/>
      <c r="L73" s="17"/>
      <c r="N73" s="9"/>
    </row>
    <row r="74" spans="1:14" x14ac:dyDescent="0.15">
      <c r="A74" s="7"/>
      <c r="L74" s="17"/>
      <c r="N74" s="9"/>
    </row>
    <row r="75" spans="1:14" x14ac:dyDescent="0.15">
      <c r="A75" s="12"/>
      <c r="L75" s="17"/>
      <c r="N75" s="9"/>
    </row>
    <row r="76" spans="1:14" x14ac:dyDescent="0.15">
      <c r="A76" s="7"/>
      <c r="L76" s="17"/>
      <c r="N76" s="9"/>
    </row>
    <row r="77" spans="1:14" x14ac:dyDescent="0.15">
      <c r="A77" s="12"/>
      <c r="L77" s="17"/>
      <c r="N77" s="9"/>
    </row>
    <row r="78" spans="1:14" x14ac:dyDescent="0.15">
      <c r="A78" s="7"/>
      <c r="L78" s="17"/>
      <c r="N78" s="9"/>
    </row>
    <row r="79" spans="1:14" x14ac:dyDescent="0.15">
      <c r="A79" s="12"/>
      <c r="L79" s="17"/>
      <c r="N79" s="9"/>
    </row>
    <row r="80" spans="1:14" x14ac:dyDescent="0.15">
      <c r="A80" s="7"/>
      <c r="L80" s="17"/>
      <c r="N80" s="9"/>
    </row>
    <row r="81" spans="1:14" x14ac:dyDescent="0.15">
      <c r="A81" s="12"/>
      <c r="L81" s="17"/>
      <c r="N81" s="9"/>
    </row>
    <row r="82" spans="1:14" x14ac:dyDescent="0.15">
      <c r="A82" s="7"/>
      <c r="L82" s="17"/>
      <c r="N82" s="9"/>
    </row>
    <row r="83" spans="1:14" x14ac:dyDescent="0.15">
      <c r="A83" s="12"/>
      <c r="L83" s="17"/>
      <c r="N83" s="9"/>
    </row>
    <row r="84" spans="1:14" x14ac:dyDescent="0.15">
      <c r="A84" s="7"/>
      <c r="L84" s="17"/>
      <c r="N84" s="9"/>
    </row>
    <row r="85" spans="1:14" x14ac:dyDescent="0.15">
      <c r="A85" s="12"/>
      <c r="E85" s="36"/>
      <c r="L85" s="17"/>
      <c r="N85" s="9"/>
    </row>
    <row r="86" spans="1:14" x14ac:dyDescent="0.15">
      <c r="A86" s="7"/>
      <c r="E86" s="36"/>
      <c r="L86" s="17"/>
      <c r="N86" s="9"/>
    </row>
    <row r="87" spans="1:14" x14ac:dyDescent="0.15">
      <c r="A87" s="12"/>
      <c r="E87" s="36"/>
      <c r="L87" s="17"/>
      <c r="N87" s="9"/>
    </row>
    <row r="88" spans="1:14" x14ac:dyDescent="0.15">
      <c r="A88" s="7"/>
      <c r="E88" s="36"/>
      <c r="L88" s="17"/>
      <c r="N88" s="9"/>
    </row>
    <row r="89" spans="1:14" x14ac:dyDescent="0.15">
      <c r="A89" s="12"/>
      <c r="E89" s="36"/>
      <c r="L89" s="17"/>
      <c r="N89" s="9"/>
    </row>
    <row r="90" spans="1:14" x14ac:dyDescent="0.15">
      <c r="A90" s="7"/>
      <c r="E90" s="36"/>
      <c r="L90" s="17"/>
      <c r="N90" s="9"/>
    </row>
    <row r="91" spans="1:14" x14ac:dyDescent="0.15">
      <c r="A91" s="12"/>
      <c r="E91" s="36"/>
      <c r="L91" s="17"/>
      <c r="N91" s="9"/>
    </row>
    <row r="92" spans="1:14" x14ac:dyDescent="0.15">
      <c r="A92" s="7"/>
      <c r="E92" s="36"/>
      <c r="L92" s="17"/>
      <c r="N92" s="9"/>
    </row>
    <row r="93" spans="1:14" x14ac:dyDescent="0.15">
      <c r="A93" s="12"/>
      <c r="E93" s="36"/>
      <c r="L93" s="17"/>
      <c r="N93" s="9"/>
    </row>
    <row r="94" spans="1:14" x14ac:dyDescent="0.15">
      <c r="A94" s="7"/>
      <c r="E94" s="36"/>
      <c r="L94" s="17"/>
      <c r="N94" s="9"/>
    </row>
  </sheetData>
  <mergeCells count="10">
    <mergeCell ref="A1:B1"/>
    <mergeCell ref="C1:K1"/>
    <mergeCell ref="L1:L2"/>
    <mergeCell ref="M1:Q2"/>
    <mergeCell ref="A2:B2"/>
    <mergeCell ref="C2:E2"/>
    <mergeCell ref="F2:F3"/>
    <mergeCell ref="G2:K2"/>
    <mergeCell ref="B3:D3"/>
    <mergeCell ref="P3:Q3"/>
  </mergeCells>
  <phoneticPr fontId="3"/>
  <dataValidations count="6">
    <dataValidation imeMode="off" allowBlank="1" showInputMessage="1" showErrorMessage="1" sqref="E95:E65536 E3 E40:E84 A1:A1048576"/>
    <dataValidation imeMode="on" allowBlank="1" showInputMessage="1" showErrorMessage="1" sqref="M1:Q2 B9 C3:D9 B1:B4 P4:Q65536 C1:K1 B10:D65536 E9:E39 E4 E85:E94"/>
    <dataValidation type="list" allowBlank="1" showInputMessage="1" showErrorMessage="1" sqref="L4:L65536">
      <formula1>INDIRECT($R$1,FALSE)</formula1>
    </dataValidation>
    <dataValidation type="list" allowBlank="1" showInputMessage="1" showErrorMessage="1" sqref="O4:O65536">
      <formula1>INDIRECT($S$2,FALSE)</formula1>
    </dataValidation>
    <dataValidation type="list" imeMode="on" allowBlank="1" showInputMessage="1" showErrorMessage="1" sqref="N4:N65536">
      <formula1>INDIRECT($S$1,FALSE)</formula1>
    </dataValidation>
    <dataValidation type="whole" imeMode="off" operator="greaterThanOrEqual" allowBlank="1" showInputMessage="1" showErrorMessage="1" sqref="F2:K65536 M3:M65536">
      <formula1>1</formula1>
    </dataValidation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S9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11" width="2.625" style="14" customWidth="1"/>
    <col min="12" max="12" width="8.75" style="36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8"/>
      <c r="L1" s="52" t="s">
        <v>4</v>
      </c>
      <c r="M1" s="41"/>
      <c r="N1" s="41"/>
      <c r="O1" s="41"/>
      <c r="P1" s="41"/>
      <c r="Q1" s="41"/>
      <c r="R1" s="1" t="str">
        <f>"設定!R2C1:R"&amp;COUNTA([1]設定!$A:$A)&amp;"C1"</f>
        <v>設定!R2C1:R12C1</v>
      </c>
      <c r="S1" s="1" t="str">
        <f>"設定!R2C10:R"&amp;COUNTA([1]設定!$J:$J)&amp;"C10"</f>
        <v>設定!R2C10:R4C10</v>
      </c>
    </row>
    <row r="2" spans="1:19" s="2" customFormat="1" ht="11.25" customHeight="1" x14ac:dyDescent="0.15">
      <c r="A2" s="37" t="s">
        <v>49</v>
      </c>
      <c r="B2" s="38"/>
      <c r="C2" s="49" t="s">
        <v>320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3"/>
      <c r="M2" s="42"/>
      <c r="N2" s="42"/>
      <c r="O2" s="42"/>
      <c r="P2" s="42"/>
      <c r="Q2" s="42"/>
      <c r="R2" s="1"/>
      <c r="S2" s="1" t="str">
        <f>"設定!R2C13:R"&amp;COUNTA([1]設定!$M:$M)&amp;"C13"</f>
        <v>設定!R2C13:R4C13</v>
      </c>
    </row>
    <row r="3" spans="1:19" s="6" customFormat="1" ht="11.25" customHeight="1" x14ac:dyDescent="0.15">
      <c r="A3" s="34" t="s">
        <v>48</v>
      </c>
      <c r="B3" s="43" t="s">
        <v>0</v>
      </c>
      <c r="C3" s="44"/>
      <c r="D3" s="45"/>
      <c r="E3" s="33" t="s">
        <v>53</v>
      </c>
      <c r="F3" s="55"/>
      <c r="G3" s="35" t="s">
        <v>6</v>
      </c>
      <c r="H3" s="35" t="s">
        <v>7</v>
      </c>
      <c r="I3" s="35" t="s">
        <v>8</v>
      </c>
      <c r="J3" s="35" t="s">
        <v>9</v>
      </c>
      <c r="K3" s="35" t="s">
        <v>10</v>
      </c>
      <c r="L3" s="35" t="s">
        <v>1</v>
      </c>
      <c r="M3" s="35" t="s">
        <v>17</v>
      </c>
      <c r="N3" s="35" t="s">
        <v>18</v>
      </c>
      <c r="O3" s="35" t="s">
        <v>19</v>
      </c>
      <c r="P3" s="39" t="s">
        <v>2</v>
      </c>
      <c r="Q3" s="40"/>
    </row>
    <row r="4" spans="1:19" s="11" customFormat="1" ht="11.25" customHeight="1" x14ac:dyDescent="0.15">
      <c r="A4" s="7">
        <f>ROW()-4</f>
        <v>0</v>
      </c>
      <c r="B4" s="24"/>
      <c r="C4" s="13"/>
      <c r="D4" s="13"/>
      <c r="E4" s="24" t="s">
        <v>76</v>
      </c>
      <c r="F4" s="9">
        <v>1</v>
      </c>
      <c r="G4" s="9">
        <v>1</v>
      </c>
      <c r="H4" s="9"/>
      <c r="I4" s="9"/>
      <c r="J4" s="9"/>
      <c r="K4" s="9"/>
      <c r="L4" s="17" t="s">
        <v>56</v>
      </c>
      <c r="M4" s="9">
        <v>10</v>
      </c>
      <c r="N4" s="9" t="s">
        <v>57</v>
      </c>
      <c r="O4" s="9" t="s">
        <v>58</v>
      </c>
      <c r="P4" s="10"/>
      <c r="Q4" s="10"/>
    </row>
    <row r="5" spans="1:19" s="11" customFormat="1" x14ac:dyDescent="0.15">
      <c r="A5" s="12">
        <f>ROW()-4</f>
        <v>1</v>
      </c>
      <c r="B5" s="13"/>
      <c r="C5" s="13"/>
      <c r="D5" s="13"/>
      <c r="E5" s="13" t="s">
        <v>77</v>
      </c>
      <c r="F5" s="9">
        <v>2</v>
      </c>
      <c r="G5" s="9"/>
      <c r="H5" s="9">
        <v>1</v>
      </c>
      <c r="I5" s="9"/>
      <c r="J5" s="9"/>
      <c r="K5" s="9"/>
      <c r="L5" s="17" t="s">
        <v>56</v>
      </c>
      <c r="M5" s="9">
        <v>10</v>
      </c>
      <c r="N5" s="9" t="s">
        <v>57</v>
      </c>
      <c r="O5" s="9" t="s">
        <v>58</v>
      </c>
      <c r="P5" s="10"/>
      <c r="Q5" s="10"/>
    </row>
    <row r="6" spans="1:19" s="11" customFormat="1" x14ac:dyDescent="0.15">
      <c r="A6" s="7">
        <f>ROW()-4</f>
        <v>2</v>
      </c>
      <c r="B6" s="13"/>
      <c r="C6" s="13"/>
      <c r="D6" s="13"/>
      <c r="E6" s="13" t="s">
        <v>78</v>
      </c>
      <c r="F6" s="9">
        <v>3</v>
      </c>
      <c r="G6" s="9"/>
      <c r="H6" s="9"/>
      <c r="I6" s="9">
        <v>1</v>
      </c>
      <c r="J6" s="9"/>
      <c r="K6" s="9"/>
      <c r="L6" s="17" t="s">
        <v>56</v>
      </c>
      <c r="M6" s="9">
        <v>10</v>
      </c>
      <c r="N6" s="9" t="s">
        <v>57</v>
      </c>
      <c r="O6" s="9" t="s">
        <v>58</v>
      </c>
      <c r="P6" s="10"/>
      <c r="Q6" s="10"/>
    </row>
    <row r="7" spans="1:19" s="11" customFormat="1" x14ac:dyDescent="0.15">
      <c r="A7" s="12">
        <f>ROW()-4</f>
        <v>3</v>
      </c>
      <c r="B7" s="13"/>
      <c r="C7" s="13"/>
      <c r="D7" s="13"/>
      <c r="E7" s="13" t="s">
        <v>91</v>
      </c>
      <c r="F7" s="9"/>
      <c r="G7" s="9"/>
      <c r="H7" s="9"/>
      <c r="I7" s="9"/>
      <c r="J7" s="9"/>
      <c r="K7" s="9"/>
      <c r="L7" s="17" t="s">
        <v>56</v>
      </c>
      <c r="M7" s="9">
        <v>255</v>
      </c>
      <c r="N7" s="9" t="s">
        <v>60</v>
      </c>
      <c r="O7" s="9" t="s">
        <v>58</v>
      </c>
      <c r="P7" s="10"/>
      <c r="Q7" s="10"/>
    </row>
    <row r="8" spans="1:19" s="11" customFormat="1" x14ac:dyDescent="0.15">
      <c r="A8" s="7">
        <f>ROW()-4</f>
        <v>4</v>
      </c>
      <c r="B8" s="13"/>
      <c r="C8" s="13"/>
      <c r="D8" s="13"/>
      <c r="E8" s="13" t="s">
        <v>92</v>
      </c>
      <c r="F8" s="9"/>
      <c r="G8" s="9"/>
      <c r="H8" s="9"/>
      <c r="I8" s="9"/>
      <c r="J8" s="9"/>
      <c r="K8" s="9"/>
      <c r="L8" s="17" t="s">
        <v>56</v>
      </c>
      <c r="M8" s="9">
        <v>255</v>
      </c>
      <c r="N8" s="9" t="s">
        <v>60</v>
      </c>
      <c r="O8" s="9" t="s">
        <v>58</v>
      </c>
      <c r="P8" s="10"/>
      <c r="Q8" s="10"/>
    </row>
    <row r="9" spans="1:19" s="11" customFormat="1" x14ac:dyDescent="0.15">
      <c r="A9" s="12">
        <f>ROW()-4</f>
        <v>5</v>
      </c>
      <c r="B9" s="13"/>
      <c r="C9" s="13"/>
      <c r="D9" s="13"/>
      <c r="E9" s="13" t="s">
        <v>93</v>
      </c>
      <c r="F9" s="9"/>
      <c r="G9" s="9"/>
      <c r="H9" s="9"/>
      <c r="I9" s="9"/>
      <c r="J9" s="9"/>
      <c r="K9" s="9"/>
      <c r="L9" s="17" t="s">
        <v>56</v>
      </c>
      <c r="M9" s="9">
        <v>255</v>
      </c>
      <c r="N9" s="9" t="s">
        <v>60</v>
      </c>
      <c r="O9" s="9" t="s">
        <v>58</v>
      </c>
      <c r="P9" s="10"/>
      <c r="Q9" s="10"/>
    </row>
    <row r="10" spans="1:19" s="11" customFormat="1" ht="11.25" customHeight="1" x14ac:dyDescent="0.15">
      <c r="A10" s="7">
        <f>ROW()-4</f>
        <v>6</v>
      </c>
      <c r="B10" s="13"/>
      <c r="C10" s="13"/>
      <c r="D10" s="13"/>
      <c r="E10" s="13" t="s">
        <v>94</v>
      </c>
      <c r="F10" s="9"/>
      <c r="G10" s="9"/>
      <c r="H10" s="9"/>
      <c r="I10" s="9"/>
      <c r="J10" s="9"/>
      <c r="K10" s="9"/>
      <c r="L10" s="17" t="s">
        <v>56</v>
      </c>
      <c r="M10" s="9">
        <v>50</v>
      </c>
      <c r="N10" s="9" t="s">
        <v>60</v>
      </c>
      <c r="O10" s="9" t="s">
        <v>58</v>
      </c>
      <c r="P10" s="10"/>
      <c r="Q10" s="10"/>
    </row>
    <row r="11" spans="1:19" s="11" customFormat="1" x14ac:dyDescent="0.15">
      <c r="A11" s="12">
        <f>ROW()-4</f>
        <v>7</v>
      </c>
      <c r="B11" s="13"/>
      <c r="C11" s="13"/>
      <c r="D11" s="13"/>
      <c r="E11" s="13" t="s">
        <v>79</v>
      </c>
      <c r="F11" s="9">
        <v>4</v>
      </c>
      <c r="G11" s="9"/>
      <c r="H11" s="9"/>
      <c r="I11" s="9"/>
      <c r="J11" s="9"/>
      <c r="K11" s="9"/>
      <c r="L11" s="17" t="s">
        <v>80</v>
      </c>
      <c r="M11" s="9"/>
      <c r="N11" s="9" t="s">
        <v>57</v>
      </c>
      <c r="O11" s="9" t="s">
        <v>64</v>
      </c>
      <c r="P11" s="10"/>
      <c r="Q11" s="10"/>
    </row>
    <row r="12" spans="1:19" s="11" customFormat="1" x14ac:dyDescent="0.15">
      <c r="A12" s="7">
        <f>ROW()-4</f>
        <v>8</v>
      </c>
      <c r="B12" s="13"/>
      <c r="C12" s="13"/>
      <c r="D12" s="13"/>
      <c r="E12" s="13" t="s">
        <v>95</v>
      </c>
      <c r="F12" s="9"/>
      <c r="G12" s="9"/>
      <c r="H12" s="9"/>
      <c r="I12" s="9"/>
      <c r="J12" s="9"/>
      <c r="K12" s="9"/>
      <c r="L12" s="17" t="s">
        <v>80</v>
      </c>
      <c r="M12" s="9"/>
      <c r="N12" s="9" t="s">
        <v>60</v>
      </c>
      <c r="O12" s="9" t="s">
        <v>64</v>
      </c>
      <c r="P12" s="10"/>
      <c r="Q12" s="10"/>
    </row>
    <row r="13" spans="1:19" s="11" customFormat="1" x14ac:dyDescent="0.15">
      <c r="A13" s="12">
        <f>ROW()-4</f>
        <v>9</v>
      </c>
      <c r="B13" s="13"/>
      <c r="C13" s="13"/>
      <c r="D13" s="13"/>
      <c r="E13" s="13" t="s">
        <v>179</v>
      </c>
      <c r="F13" s="9"/>
      <c r="G13" s="9"/>
      <c r="H13" s="9"/>
      <c r="I13" s="9"/>
      <c r="J13" s="9"/>
      <c r="K13" s="9"/>
      <c r="L13" s="17" t="s">
        <v>56</v>
      </c>
      <c r="M13" s="9">
        <v>100</v>
      </c>
      <c r="N13" s="9" t="s">
        <v>60</v>
      </c>
      <c r="O13" s="9" t="s">
        <v>58</v>
      </c>
      <c r="P13" s="10"/>
      <c r="Q13" s="10"/>
    </row>
    <row r="14" spans="1:19" s="11" customFormat="1" x14ac:dyDescent="0.15">
      <c r="A14" s="7">
        <f>ROW()-4</f>
        <v>10</v>
      </c>
      <c r="B14" s="13"/>
      <c r="C14" s="36"/>
      <c r="D14" s="36"/>
      <c r="E14" s="13" t="s">
        <v>321</v>
      </c>
      <c r="F14" s="14"/>
      <c r="G14" s="14"/>
      <c r="H14" s="14"/>
      <c r="I14" s="14"/>
      <c r="J14" s="14"/>
      <c r="K14" s="14"/>
      <c r="L14" s="17" t="s">
        <v>80</v>
      </c>
      <c r="M14" s="14"/>
      <c r="N14" s="9" t="s">
        <v>60</v>
      </c>
      <c r="O14" s="14" t="s">
        <v>64</v>
      </c>
      <c r="P14" s="15"/>
      <c r="Q14" s="15"/>
    </row>
    <row r="15" spans="1:19" s="11" customFormat="1" x14ac:dyDescent="0.15">
      <c r="A15" s="12">
        <f>ROW()-4</f>
        <v>11</v>
      </c>
      <c r="B15" s="13"/>
      <c r="C15" s="36"/>
      <c r="D15" s="36"/>
      <c r="E15" s="13" t="s">
        <v>322</v>
      </c>
      <c r="F15" s="14"/>
      <c r="G15" s="14"/>
      <c r="H15" s="14"/>
      <c r="I15" s="14"/>
      <c r="J15" s="14"/>
      <c r="K15" s="14"/>
      <c r="L15" s="17" t="s">
        <v>80</v>
      </c>
      <c r="M15" s="14"/>
      <c r="N15" s="9" t="s">
        <v>60</v>
      </c>
      <c r="O15" s="14" t="s">
        <v>64</v>
      </c>
      <c r="P15" s="15"/>
      <c r="Q15" s="15"/>
    </row>
    <row r="16" spans="1:19" s="11" customFormat="1" x14ac:dyDescent="0.15">
      <c r="A16" s="7">
        <f>ROW()-4</f>
        <v>12</v>
      </c>
      <c r="B16" s="13"/>
      <c r="C16" s="36"/>
      <c r="D16" s="36"/>
      <c r="E16" s="13" t="s">
        <v>323</v>
      </c>
      <c r="F16" s="14"/>
      <c r="G16" s="14"/>
      <c r="H16" s="14"/>
      <c r="I16" s="14"/>
      <c r="J16" s="14"/>
      <c r="K16" s="14"/>
      <c r="L16" s="17" t="s">
        <v>80</v>
      </c>
      <c r="M16" s="14"/>
      <c r="N16" s="9" t="s">
        <v>60</v>
      </c>
      <c r="O16" s="14" t="s">
        <v>64</v>
      </c>
      <c r="P16" s="15"/>
      <c r="Q16" s="15"/>
    </row>
    <row r="17" spans="1:17" s="11" customFormat="1" x14ac:dyDescent="0.15">
      <c r="A17" s="12">
        <f>ROW()-4</f>
        <v>13</v>
      </c>
      <c r="B17" s="36"/>
      <c r="C17" s="36"/>
      <c r="D17" s="36"/>
      <c r="E17" s="36" t="s">
        <v>96</v>
      </c>
      <c r="F17" s="14"/>
      <c r="G17" s="14"/>
      <c r="H17" s="14"/>
      <c r="I17" s="14"/>
      <c r="J17" s="14"/>
      <c r="K17" s="14"/>
      <c r="L17" s="17" t="s">
        <v>63</v>
      </c>
      <c r="M17" s="14"/>
      <c r="N17" s="9" t="s">
        <v>64</v>
      </c>
      <c r="O17" s="14" t="s">
        <v>64</v>
      </c>
      <c r="P17" s="15"/>
      <c r="Q17" s="15"/>
    </row>
    <row r="18" spans="1:17" s="11" customFormat="1" x14ac:dyDescent="0.15">
      <c r="A18" s="7">
        <f>ROW()-4</f>
        <v>14</v>
      </c>
      <c r="B18" s="36"/>
      <c r="C18" s="36"/>
      <c r="D18" s="36"/>
      <c r="E18" s="36" t="s">
        <v>86</v>
      </c>
      <c r="F18" s="14"/>
      <c r="G18" s="14"/>
      <c r="H18" s="14"/>
      <c r="I18" s="14"/>
      <c r="J18" s="14"/>
      <c r="K18" s="14"/>
      <c r="L18" s="17" t="s">
        <v>63</v>
      </c>
      <c r="M18" s="14"/>
      <c r="N18" s="9" t="s">
        <v>64</v>
      </c>
      <c r="O18" s="14" t="s">
        <v>64</v>
      </c>
      <c r="P18" s="15"/>
      <c r="Q18" s="15"/>
    </row>
    <row r="19" spans="1:17" s="11" customFormat="1" x14ac:dyDescent="0.15">
      <c r="A19" s="12">
        <f>ROW()-4</f>
        <v>15</v>
      </c>
      <c r="B19" s="36"/>
      <c r="C19" s="36"/>
      <c r="D19" s="36"/>
      <c r="E19" s="36" t="s">
        <v>97</v>
      </c>
      <c r="F19" s="14"/>
      <c r="G19" s="14"/>
      <c r="H19" s="14"/>
      <c r="I19" s="14"/>
      <c r="J19" s="14"/>
      <c r="K19" s="14"/>
      <c r="L19" s="17" t="s">
        <v>89</v>
      </c>
      <c r="M19" s="14"/>
      <c r="N19" s="9" t="s">
        <v>60</v>
      </c>
      <c r="O19" s="14" t="s">
        <v>64</v>
      </c>
      <c r="P19" s="15"/>
      <c r="Q19" s="15"/>
    </row>
    <row r="20" spans="1:17" s="11" customFormat="1" x14ac:dyDescent="0.15">
      <c r="A20" s="7">
        <f>ROW()-4</f>
        <v>16</v>
      </c>
      <c r="B20" s="36"/>
      <c r="C20" s="36"/>
      <c r="D20" s="36"/>
      <c r="E20" s="36" t="s">
        <v>98</v>
      </c>
      <c r="F20" s="14"/>
      <c r="G20" s="14"/>
      <c r="H20" s="14"/>
      <c r="I20" s="14"/>
      <c r="J20" s="14"/>
      <c r="K20" s="14"/>
      <c r="L20" s="17" t="s">
        <v>63</v>
      </c>
      <c r="M20" s="14"/>
      <c r="N20" s="9" t="s">
        <v>64</v>
      </c>
      <c r="O20" s="14" t="s">
        <v>64</v>
      </c>
      <c r="P20" s="15"/>
      <c r="Q20" s="15"/>
    </row>
    <row r="21" spans="1:17" s="11" customFormat="1" x14ac:dyDescent="0.15">
      <c r="A21" s="12">
        <f>ROW()-4</f>
        <v>17</v>
      </c>
      <c r="B21" s="36"/>
      <c r="C21" s="36"/>
      <c r="D21" s="36"/>
      <c r="E21" s="36" t="s">
        <v>99</v>
      </c>
      <c r="F21" s="14"/>
      <c r="G21" s="14"/>
      <c r="H21" s="14"/>
      <c r="I21" s="14"/>
      <c r="J21" s="14"/>
      <c r="K21" s="14"/>
      <c r="L21" s="17" t="s">
        <v>80</v>
      </c>
      <c r="M21" s="14"/>
      <c r="N21" s="9" t="s">
        <v>60</v>
      </c>
      <c r="O21" s="14" t="s">
        <v>64</v>
      </c>
      <c r="P21" s="15"/>
      <c r="Q21" s="15"/>
    </row>
    <row r="22" spans="1:17" x14ac:dyDescent="0.15">
      <c r="A22" s="7">
        <f>ROW()-4</f>
        <v>18</v>
      </c>
      <c r="E22" s="36" t="s">
        <v>100</v>
      </c>
      <c r="L22" s="17" t="s">
        <v>80</v>
      </c>
      <c r="N22" s="9" t="s">
        <v>60</v>
      </c>
      <c r="O22" s="14" t="s">
        <v>64</v>
      </c>
    </row>
    <row r="23" spans="1:17" x14ac:dyDescent="0.15">
      <c r="A23" s="12">
        <f>ROW()-4</f>
        <v>19</v>
      </c>
      <c r="E23" s="36" t="s">
        <v>101</v>
      </c>
      <c r="L23" s="17" t="s">
        <v>80</v>
      </c>
      <c r="N23" s="9" t="s">
        <v>60</v>
      </c>
      <c r="O23" s="14" t="s">
        <v>64</v>
      </c>
    </row>
    <row r="24" spans="1:17" x14ac:dyDescent="0.15">
      <c r="A24" s="7">
        <f>ROW()-4</f>
        <v>20</v>
      </c>
      <c r="E24" s="36" t="s">
        <v>106</v>
      </c>
      <c r="L24" s="17" t="s">
        <v>80</v>
      </c>
      <c r="N24" s="9" t="s">
        <v>60</v>
      </c>
      <c r="O24" s="14" t="s">
        <v>64</v>
      </c>
    </row>
    <row r="25" spans="1:17" x14ac:dyDescent="0.15">
      <c r="A25" s="12">
        <f>ROW()-4</f>
        <v>21</v>
      </c>
      <c r="E25" s="36" t="s">
        <v>107</v>
      </c>
      <c r="L25" s="17" t="s">
        <v>80</v>
      </c>
      <c r="N25" s="9" t="s">
        <v>60</v>
      </c>
      <c r="O25" s="14" t="s">
        <v>64</v>
      </c>
    </row>
    <row r="26" spans="1:17" x14ac:dyDescent="0.15">
      <c r="A26" s="7">
        <f>ROW()-4</f>
        <v>22</v>
      </c>
      <c r="E26" s="36" t="s">
        <v>108</v>
      </c>
      <c r="L26" s="17" t="s">
        <v>80</v>
      </c>
      <c r="N26" s="9" t="s">
        <v>60</v>
      </c>
      <c r="O26" s="14" t="s">
        <v>64</v>
      </c>
    </row>
    <row r="27" spans="1:17" x14ac:dyDescent="0.15">
      <c r="A27" s="12">
        <f>ROW()-4</f>
        <v>23</v>
      </c>
      <c r="E27" s="36" t="s">
        <v>109</v>
      </c>
      <c r="L27" s="17" t="s">
        <v>80</v>
      </c>
      <c r="N27" s="9" t="s">
        <v>60</v>
      </c>
      <c r="O27" s="14" t="s">
        <v>64</v>
      </c>
    </row>
    <row r="28" spans="1:17" x14ac:dyDescent="0.15">
      <c r="A28" s="7">
        <f>ROW()-4</f>
        <v>24</v>
      </c>
      <c r="E28" s="36" t="s">
        <v>175</v>
      </c>
      <c r="L28" s="17" t="s">
        <v>80</v>
      </c>
      <c r="N28" s="9" t="s">
        <v>60</v>
      </c>
      <c r="O28" s="14" t="s">
        <v>64</v>
      </c>
    </row>
    <row r="29" spans="1:17" x14ac:dyDescent="0.15">
      <c r="A29" s="12">
        <f>ROW()-4</f>
        <v>25</v>
      </c>
      <c r="E29" s="36" t="s">
        <v>112</v>
      </c>
      <c r="L29" s="17" t="s">
        <v>56</v>
      </c>
      <c r="M29" s="14">
        <v>255</v>
      </c>
      <c r="N29" s="9" t="s">
        <v>60</v>
      </c>
      <c r="O29" s="14" t="s">
        <v>58</v>
      </c>
    </row>
    <row r="30" spans="1:17" x14ac:dyDescent="0.15">
      <c r="A30" s="7">
        <f>ROW()-4</f>
        <v>26</v>
      </c>
      <c r="E30" s="36" t="s">
        <v>324</v>
      </c>
      <c r="L30" s="17" t="s">
        <v>56</v>
      </c>
      <c r="M30" s="14">
        <v>255</v>
      </c>
      <c r="N30" s="9" t="s">
        <v>60</v>
      </c>
      <c r="O30" s="14" t="s">
        <v>58</v>
      </c>
    </row>
    <row r="31" spans="1:17" x14ac:dyDescent="0.15">
      <c r="A31" s="12">
        <f>ROW()-4</f>
        <v>27</v>
      </c>
      <c r="E31" s="36" t="s">
        <v>325</v>
      </c>
      <c r="L31" s="17" t="s">
        <v>56</v>
      </c>
      <c r="M31" s="14">
        <v>255</v>
      </c>
      <c r="N31" s="9" t="s">
        <v>60</v>
      </c>
      <c r="O31" s="14" t="s">
        <v>58</v>
      </c>
    </row>
    <row r="32" spans="1:17" x14ac:dyDescent="0.15">
      <c r="A32" s="7">
        <f>ROW()-4</f>
        <v>28</v>
      </c>
      <c r="E32" s="36" t="s">
        <v>326</v>
      </c>
      <c r="L32" s="17" t="s">
        <v>56</v>
      </c>
      <c r="M32" s="14">
        <v>3</v>
      </c>
      <c r="N32" s="9" t="s">
        <v>60</v>
      </c>
      <c r="O32" s="14" t="s">
        <v>58</v>
      </c>
    </row>
    <row r="33" spans="1:15" x14ac:dyDescent="0.15">
      <c r="A33" s="12">
        <f>ROW()-4</f>
        <v>29</v>
      </c>
      <c r="E33" s="36" t="s">
        <v>110</v>
      </c>
      <c r="L33" s="17" t="s">
        <v>56</v>
      </c>
      <c r="M33" s="14">
        <v>255</v>
      </c>
      <c r="N33" s="9" t="s">
        <v>60</v>
      </c>
      <c r="O33" s="14" t="s">
        <v>58</v>
      </c>
    </row>
    <row r="34" spans="1:15" x14ac:dyDescent="0.15">
      <c r="A34" s="7"/>
      <c r="E34" s="36"/>
      <c r="L34" s="17"/>
      <c r="N34" s="9"/>
    </row>
    <row r="35" spans="1:15" x14ac:dyDescent="0.15">
      <c r="A35" s="12"/>
      <c r="E35" s="36"/>
      <c r="L35" s="17"/>
      <c r="N35" s="9"/>
    </row>
    <row r="36" spans="1:15" x14ac:dyDescent="0.15">
      <c r="A36" s="7"/>
      <c r="E36" s="36"/>
      <c r="L36" s="17"/>
      <c r="N36" s="9"/>
    </row>
    <row r="37" spans="1:15" x14ac:dyDescent="0.15">
      <c r="A37" s="12"/>
      <c r="E37" s="36"/>
      <c r="L37" s="17"/>
      <c r="N37" s="9"/>
    </row>
    <row r="38" spans="1:15" x14ac:dyDescent="0.15">
      <c r="A38" s="7"/>
      <c r="E38" s="36"/>
      <c r="L38" s="17"/>
      <c r="N38" s="9"/>
    </row>
    <row r="39" spans="1:15" x14ac:dyDescent="0.15">
      <c r="A39" s="12"/>
      <c r="E39" s="36"/>
      <c r="L39" s="17"/>
      <c r="N39" s="9"/>
    </row>
    <row r="40" spans="1:15" x14ac:dyDescent="0.15">
      <c r="A40" s="7"/>
      <c r="L40" s="17"/>
      <c r="N40" s="9"/>
    </row>
    <row r="41" spans="1:15" x14ac:dyDescent="0.15">
      <c r="A41" s="12"/>
      <c r="L41" s="17"/>
      <c r="N41" s="9"/>
    </row>
    <row r="42" spans="1:15" x14ac:dyDescent="0.15">
      <c r="A42" s="7"/>
      <c r="L42" s="17"/>
      <c r="N42" s="9"/>
    </row>
    <row r="43" spans="1:15" x14ac:dyDescent="0.15">
      <c r="A43" s="12"/>
      <c r="L43" s="17"/>
      <c r="N43" s="9"/>
    </row>
    <row r="44" spans="1:15" x14ac:dyDescent="0.15">
      <c r="A44" s="7"/>
      <c r="L44" s="17"/>
      <c r="N44" s="9"/>
    </row>
    <row r="45" spans="1:15" x14ac:dyDescent="0.15">
      <c r="A45" s="12"/>
      <c r="L45" s="17"/>
      <c r="N45" s="9"/>
    </row>
    <row r="46" spans="1:15" x14ac:dyDescent="0.15">
      <c r="A46" s="7"/>
      <c r="L46" s="17"/>
      <c r="N46" s="9"/>
    </row>
    <row r="47" spans="1:15" x14ac:dyDescent="0.15">
      <c r="A47" s="12"/>
      <c r="L47" s="17"/>
      <c r="N47" s="9"/>
    </row>
    <row r="48" spans="1:15" x14ac:dyDescent="0.15">
      <c r="A48" s="7"/>
      <c r="L48" s="17"/>
      <c r="N48" s="9"/>
    </row>
    <row r="49" spans="1:14" x14ac:dyDescent="0.15">
      <c r="A49" s="12"/>
      <c r="L49" s="17"/>
      <c r="N49" s="9"/>
    </row>
    <row r="50" spans="1:14" x14ac:dyDescent="0.15">
      <c r="A50" s="7"/>
      <c r="L50" s="17"/>
      <c r="N50" s="9"/>
    </row>
    <row r="51" spans="1:14" x14ac:dyDescent="0.15">
      <c r="A51" s="12"/>
      <c r="L51" s="17"/>
      <c r="N51" s="9"/>
    </row>
    <row r="52" spans="1:14" x14ac:dyDescent="0.15">
      <c r="A52" s="7"/>
      <c r="L52" s="17"/>
      <c r="N52" s="9"/>
    </row>
    <row r="53" spans="1:14" x14ac:dyDescent="0.15">
      <c r="A53" s="12"/>
      <c r="L53" s="17"/>
      <c r="N53" s="9"/>
    </row>
    <row r="54" spans="1:14" x14ac:dyDescent="0.15">
      <c r="A54" s="7"/>
      <c r="L54" s="17"/>
      <c r="N54" s="9"/>
    </row>
    <row r="55" spans="1:14" x14ac:dyDescent="0.15">
      <c r="A55" s="12"/>
      <c r="L55" s="17"/>
      <c r="N55" s="9"/>
    </row>
    <row r="56" spans="1:14" x14ac:dyDescent="0.15">
      <c r="A56" s="7"/>
      <c r="L56" s="17"/>
      <c r="N56" s="9"/>
    </row>
    <row r="57" spans="1:14" x14ac:dyDescent="0.15">
      <c r="A57" s="12"/>
      <c r="L57" s="17"/>
      <c r="N57" s="9"/>
    </row>
    <row r="58" spans="1:14" x14ac:dyDescent="0.15">
      <c r="A58" s="7"/>
      <c r="L58" s="17"/>
      <c r="N58" s="9"/>
    </row>
    <row r="59" spans="1:14" x14ac:dyDescent="0.15">
      <c r="A59" s="12"/>
      <c r="L59" s="17"/>
      <c r="N59" s="9"/>
    </row>
    <row r="60" spans="1:14" x14ac:dyDescent="0.15">
      <c r="A60" s="7"/>
      <c r="L60" s="17"/>
      <c r="N60" s="9"/>
    </row>
    <row r="61" spans="1:14" x14ac:dyDescent="0.15">
      <c r="A61" s="12"/>
      <c r="L61" s="17"/>
      <c r="N61" s="9"/>
    </row>
    <row r="62" spans="1:14" x14ac:dyDescent="0.15">
      <c r="A62" s="7"/>
      <c r="L62" s="17"/>
      <c r="N62" s="9"/>
    </row>
    <row r="63" spans="1:14" x14ac:dyDescent="0.15">
      <c r="A63" s="12"/>
      <c r="L63" s="17"/>
      <c r="N63" s="9"/>
    </row>
    <row r="64" spans="1:14" x14ac:dyDescent="0.15">
      <c r="A64" s="7"/>
      <c r="L64" s="17"/>
      <c r="N64" s="9"/>
    </row>
    <row r="65" spans="1:14" x14ac:dyDescent="0.15">
      <c r="A65" s="12"/>
      <c r="L65" s="17"/>
      <c r="N65" s="9"/>
    </row>
    <row r="66" spans="1:14" x14ac:dyDescent="0.15">
      <c r="A66" s="7"/>
      <c r="L66" s="17"/>
      <c r="N66" s="9"/>
    </row>
    <row r="67" spans="1:14" x14ac:dyDescent="0.15">
      <c r="A67" s="12"/>
      <c r="L67" s="17"/>
      <c r="N67" s="9"/>
    </row>
    <row r="68" spans="1:14" x14ac:dyDescent="0.15">
      <c r="A68" s="7"/>
      <c r="L68" s="17"/>
      <c r="N68" s="9"/>
    </row>
    <row r="69" spans="1:14" x14ac:dyDescent="0.15">
      <c r="A69" s="12"/>
      <c r="L69" s="17"/>
      <c r="N69" s="9"/>
    </row>
    <row r="70" spans="1:14" x14ac:dyDescent="0.15">
      <c r="A70" s="7"/>
      <c r="L70" s="17"/>
      <c r="N70" s="9"/>
    </row>
    <row r="71" spans="1:14" x14ac:dyDescent="0.15">
      <c r="A71" s="12"/>
      <c r="L71" s="17"/>
      <c r="N71" s="9"/>
    </row>
    <row r="72" spans="1:14" x14ac:dyDescent="0.15">
      <c r="A72" s="7"/>
      <c r="L72" s="17"/>
      <c r="N72" s="9"/>
    </row>
    <row r="73" spans="1:14" x14ac:dyDescent="0.15">
      <c r="A73" s="12"/>
      <c r="L73" s="17"/>
      <c r="N73" s="9"/>
    </row>
    <row r="74" spans="1:14" x14ac:dyDescent="0.15">
      <c r="A74" s="7"/>
      <c r="L74" s="17"/>
      <c r="N74" s="9"/>
    </row>
    <row r="75" spans="1:14" x14ac:dyDescent="0.15">
      <c r="A75" s="12"/>
      <c r="L75" s="17"/>
      <c r="N75" s="9"/>
    </row>
    <row r="76" spans="1:14" x14ac:dyDescent="0.15">
      <c r="A76" s="7"/>
      <c r="L76" s="17"/>
      <c r="N76" s="9"/>
    </row>
    <row r="77" spans="1:14" x14ac:dyDescent="0.15">
      <c r="A77" s="12"/>
      <c r="L77" s="17"/>
      <c r="N77" s="9"/>
    </row>
    <row r="78" spans="1:14" x14ac:dyDescent="0.15">
      <c r="A78" s="7"/>
      <c r="L78" s="17"/>
      <c r="N78" s="9"/>
    </row>
    <row r="79" spans="1:14" x14ac:dyDescent="0.15">
      <c r="A79" s="12"/>
      <c r="L79" s="17"/>
      <c r="N79" s="9"/>
    </row>
    <row r="80" spans="1:14" x14ac:dyDescent="0.15">
      <c r="A80" s="7"/>
      <c r="L80" s="17"/>
      <c r="N80" s="9"/>
    </row>
    <row r="81" spans="1:14" x14ac:dyDescent="0.15">
      <c r="A81" s="12"/>
      <c r="L81" s="17"/>
      <c r="N81" s="9"/>
    </row>
    <row r="82" spans="1:14" x14ac:dyDescent="0.15">
      <c r="A82" s="7"/>
      <c r="L82" s="17"/>
      <c r="N82" s="9"/>
    </row>
    <row r="83" spans="1:14" x14ac:dyDescent="0.15">
      <c r="A83" s="12"/>
      <c r="L83" s="17"/>
      <c r="N83" s="9"/>
    </row>
    <row r="84" spans="1:14" x14ac:dyDescent="0.15">
      <c r="A84" s="7"/>
      <c r="L84" s="17"/>
      <c r="N84" s="9"/>
    </row>
    <row r="85" spans="1:14" x14ac:dyDescent="0.15">
      <c r="A85" s="12"/>
      <c r="E85" s="36"/>
      <c r="L85" s="17"/>
      <c r="N85" s="9"/>
    </row>
    <row r="86" spans="1:14" x14ac:dyDescent="0.15">
      <c r="A86" s="7"/>
      <c r="E86" s="36"/>
      <c r="L86" s="17"/>
      <c r="N86" s="9"/>
    </row>
    <row r="87" spans="1:14" x14ac:dyDescent="0.15">
      <c r="A87" s="12"/>
      <c r="E87" s="36"/>
      <c r="L87" s="17"/>
      <c r="N87" s="9"/>
    </row>
    <row r="88" spans="1:14" x14ac:dyDescent="0.15">
      <c r="A88" s="7"/>
      <c r="E88" s="36"/>
      <c r="L88" s="17"/>
      <c r="N88" s="9"/>
    </row>
    <row r="89" spans="1:14" x14ac:dyDescent="0.15">
      <c r="A89" s="12"/>
      <c r="E89" s="36"/>
      <c r="L89" s="17"/>
      <c r="N89" s="9"/>
    </row>
    <row r="90" spans="1:14" x14ac:dyDescent="0.15">
      <c r="A90" s="7"/>
      <c r="E90" s="36"/>
      <c r="L90" s="17"/>
      <c r="N90" s="9"/>
    </row>
    <row r="91" spans="1:14" x14ac:dyDescent="0.15">
      <c r="A91" s="12"/>
      <c r="E91" s="36"/>
      <c r="L91" s="17"/>
      <c r="N91" s="9"/>
    </row>
    <row r="92" spans="1:14" x14ac:dyDescent="0.15">
      <c r="A92" s="7"/>
      <c r="E92" s="36"/>
      <c r="L92" s="17"/>
      <c r="N92" s="9"/>
    </row>
    <row r="93" spans="1:14" x14ac:dyDescent="0.15">
      <c r="A93" s="12"/>
      <c r="E93" s="36"/>
      <c r="L93" s="17"/>
      <c r="N93" s="9"/>
    </row>
    <row r="94" spans="1:14" x14ac:dyDescent="0.15">
      <c r="A94" s="7"/>
      <c r="E94" s="36"/>
      <c r="L94" s="17"/>
      <c r="N94" s="9"/>
    </row>
  </sheetData>
  <mergeCells count="10">
    <mergeCell ref="A1:B1"/>
    <mergeCell ref="C1:K1"/>
    <mergeCell ref="L1:L2"/>
    <mergeCell ref="M1:Q2"/>
    <mergeCell ref="A2:B2"/>
    <mergeCell ref="C2:E2"/>
    <mergeCell ref="F2:F3"/>
    <mergeCell ref="G2:K2"/>
    <mergeCell ref="B3:D3"/>
    <mergeCell ref="P3:Q3"/>
  </mergeCells>
  <phoneticPr fontId="3"/>
  <dataValidations count="6">
    <dataValidation imeMode="off" allowBlank="1" showInputMessage="1" showErrorMessage="1" sqref="E95:E65536 E3 E40:E84 A1:A1048576"/>
    <dataValidation imeMode="on" allowBlank="1" showInputMessage="1" showErrorMessage="1" sqref="M1:Q2 B9 C3:D9 B1:B4 P4:Q65536 C1:K1 B10:D65536 E9:E39 E4 E85:E94"/>
    <dataValidation type="list" allowBlank="1" showInputMessage="1" showErrorMessage="1" sqref="L4:L65536">
      <formula1>INDIRECT($R$1,FALSE)</formula1>
    </dataValidation>
    <dataValidation type="list" allowBlank="1" showInputMessage="1" showErrorMessage="1" sqref="O4:O65536">
      <formula1>INDIRECT($S$2,FALSE)</formula1>
    </dataValidation>
    <dataValidation type="list" imeMode="on" allowBlank="1" showInputMessage="1" showErrorMessage="1" sqref="N4:N65536">
      <formula1>INDIRECT($S$1,FALSE)</formula1>
    </dataValidation>
    <dataValidation type="whole" imeMode="off" operator="greaterThanOrEqual" allowBlank="1" showInputMessage="1" showErrorMessage="1" sqref="F2:K65536 M3:M65536">
      <formula1>1</formula1>
    </dataValidation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48</vt:i4>
      </vt:variant>
    </vt:vector>
  </HeadingPairs>
  <TitlesOfParts>
    <vt:vector size="73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T_Version管理!Print_Area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WK_チェックリスト!Print_Area</vt:lpstr>
      <vt:lpstr>WK_フルハイトライン製造数邸別!Print_Area</vt:lpstr>
      <vt:lpstr>WK_契約番号!Print_Area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WK_上枠下地グループ集計!Print_Area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WK_枠出荷表!Print_Area</vt:lpstr>
      <vt:lpstr>WK_框材使用数!Print_Area</vt:lpstr>
      <vt:lpstr>原紙!Print_Area</vt:lpstr>
      <vt:lpstr>T_Version管理!Print_Titles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WK_チェックリスト!Print_Titles</vt:lpstr>
      <vt:lpstr>WK_フルハイトライン製造数邸別!Print_Titles</vt:lpstr>
      <vt:lpstr>WK_契約番号!Print_Titles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WK_上枠下地グループ集計!Print_Titles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2017-09-20T03:40:29Z</dcterms:modified>
  <cp:category>MDB,データベース,テーブル,DAO</cp:category>
</cp:coreProperties>
</file>